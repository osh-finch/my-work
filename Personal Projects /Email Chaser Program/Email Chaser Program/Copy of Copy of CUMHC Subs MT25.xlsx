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PAY" sheetId="1" r:id="rId5"/>
    <sheet state="visible" name="Breakdown" sheetId="2" r:id="rId6"/>
    <sheet state="visible" name="League fees" sheetId="3" r:id="rId7"/>
    <sheet state="visible" name="BUCS fees" sheetId="4" r:id="rId8"/>
    <sheet state="visible" name="Travel" sheetId="5" r:id="rId9"/>
    <sheet state="visible" name="Umpiring" sheetId="6" r:id="rId10"/>
    <sheet state="visible" name="CUMHC Kit" sheetId="7" r:id="rId11"/>
    <sheet state="visible" name="Saxon Order" sheetId="8" r:id="rId12"/>
    <sheet state="visible" name="Y1 order" sheetId="9" r:id="rId13"/>
    <sheet state="visible" name="Notes" sheetId="10" r:id="rId14"/>
  </sheets>
  <definedNames/>
  <calcPr/>
</workbook>
</file>

<file path=xl/sharedStrings.xml><?xml version="1.0" encoding="utf-8"?>
<sst xmlns="http://schemas.openxmlformats.org/spreadsheetml/2006/main" count="717" uniqueCount="221">
  <si>
    <t>Name</t>
  </si>
  <si>
    <t>To Pay</t>
  </si>
  <si>
    <t>Paid?</t>
  </si>
  <si>
    <t>WS notes</t>
  </si>
  <si>
    <t>Adam Harris</t>
  </si>
  <si>
    <t>Yes</t>
  </si>
  <si>
    <t>Adam Mills</t>
  </si>
  <si>
    <t>PAYMENT INFO</t>
  </si>
  <si>
    <t>Alex Newsham</t>
  </si>
  <si>
    <t>Account Name</t>
  </si>
  <si>
    <t>Cambridge University Hockey Club</t>
  </si>
  <si>
    <t>Alex Rontgen</t>
  </si>
  <si>
    <t>Account Number</t>
  </si>
  <si>
    <t>Alex Warren</t>
  </si>
  <si>
    <t>Sort Code</t>
  </si>
  <si>
    <t>40-16-08</t>
  </si>
  <si>
    <t>Andi Kapounek</t>
  </si>
  <si>
    <t>Reference</t>
  </si>
  <si>
    <t>msubsINITIALSURNAME (eg msubsWSTUBBS)</t>
  </si>
  <si>
    <t>Archie Jenkins</t>
  </si>
  <si>
    <t>Due Date</t>
  </si>
  <si>
    <t>8th January - late fines of £1/day after this</t>
  </si>
  <si>
    <t>Ben Crook</t>
  </si>
  <si>
    <t>All information can be found on email - contact ws418 if any issues :)</t>
  </si>
  <si>
    <t>Ben James</t>
  </si>
  <si>
    <t>Ben Tremblay</t>
  </si>
  <si>
    <t>Summary</t>
  </si>
  <si>
    <t>Benedict Holder</t>
  </si>
  <si>
    <t>Total</t>
  </si>
  <si>
    <t>Callum Wolvers</t>
  </si>
  <si>
    <t>Amount paid</t>
  </si>
  <si>
    <t>Calum Brown</t>
  </si>
  <si>
    <t>Amount outstanding</t>
  </si>
  <si>
    <t>Calum Stevenson</t>
  </si>
  <si>
    <t>People paid</t>
  </si>
  <si>
    <t>Campbell Mackenzie</t>
  </si>
  <si>
    <t>People to pay</t>
  </si>
  <si>
    <t>Casey Mear</t>
  </si>
  <si>
    <t>Correct as of</t>
  </si>
  <si>
    <t>Charles Waddington</t>
  </si>
  <si>
    <t>Chris Batten</t>
  </si>
  <si>
    <t>Chris Gibson</t>
  </si>
  <si>
    <t>Connor Singleton</t>
  </si>
  <si>
    <t>David Gee</t>
  </si>
  <si>
    <t>Don Lee</t>
  </si>
  <si>
    <t>Dylan Meacher-Nisbet</t>
  </si>
  <si>
    <t>Ed Timberlake</t>
  </si>
  <si>
    <t>Erik Van Kesteren</t>
  </si>
  <si>
    <t>Felix McClean</t>
  </si>
  <si>
    <t>Femi Owolade-Coombes</t>
  </si>
  <si>
    <t>Take off Lent subs</t>
  </si>
  <si>
    <t>Finn Dovey</t>
  </si>
  <si>
    <t>Finn Macare</t>
  </si>
  <si>
    <t>Fred Dickson</t>
  </si>
  <si>
    <t>Freddie Arbuthnott</t>
  </si>
  <si>
    <t>Freddie McElwaine-Johnn</t>
  </si>
  <si>
    <t>Chased</t>
  </si>
  <si>
    <t>Gabriel Haselhurst</t>
  </si>
  <si>
    <t>Paid 155</t>
  </si>
  <si>
    <t>George Cooper</t>
  </si>
  <si>
    <t>Harry Bannister</t>
  </si>
  <si>
    <t>Harry Neal</t>
  </si>
  <si>
    <t>Henry Forrest</t>
  </si>
  <si>
    <t>Henry Means</t>
  </si>
  <si>
    <t>Henry Murphy</t>
  </si>
  <si>
    <t>Jack Lloyd</t>
  </si>
  <si>
    <t>Jacob Schwandt</t>
  </si>
  <si>
    <t>Jakob Wierse</t>
  </si>
  <si>
    <t>James Cake</t>
  </si>
  <si>
    <t>James McKinlay-Smith</t>
  </si>
  <si>
    <t>Jamie Carruthers</t>
  </si>
  <si>
    <t>Joe Conway</t>
  </si>
  <si>
    <t>Joe Greer</t>
  </si>
  <si>
    <t>Joseph Preddy</t>
  </si>
  <si>
    <t>Josh Cressall</t>
  </si>
  <si>
    <t>Jude Lipson</t>
  </si>
  <si>
    <t>Kieran Patel</t>
  </si>
  <si>
    <t>Kyrill Borzenko</t>
  </si>
  <si>
    <t>Leo Parry-Wingfield</t>
  </si>
  <si>
    <t>Louis Patel</t>
  </si>
  <si>
    <t>Matt Braviner</t>
  </si>
  <si>
    <t>Matt Vennard</t>
  </si>
  <si>
    <t>Take off LT subs</t>
  </si>
  <si>
    <t>Nick Barclay</t>
  </si>
  <si>
    <t>Nils Rehtanz</t>
  </si>
  <si>
    <t>Ollie Bell</t>
  </si>
  <si>
    <t>Ollie Knight</t>
  </si>
  <si>
    <t>Ollie West</t>
  </si>
  <si>
    <t>Ossian Finch</t>
  </si>
  <si>
    <t>Owen Dyson</t>
  </si>
  <si>
    <t>No</t>
  </si>
  <si>
    <t>Pete Jansen</t>
  </si>
  <si>
    <t>Rhys Gibbs</t>
  </si>
  <si>
    <t>Riley Aumonier</t>
  </si>
  <si>
    <t>Rob Tingle</t>
  </si>
  <si>
    <t>Robbie Barnett</t>
  </si>
  <si>
    <t>Paid 205</t>
  </si>
  <si>
    <t>Sachin Bhogal</t>
  </si>
  <si>
    <t>Sam Featherstone</t>
  </si>
  <si>
    <t>Sam Martin</t>
  </si>
  <si>
    <t>Sam Pritchard</t>
  </si>
  <si>
    <t>Messaged chase on 20/01</t>
  </si>
  <si>
    <t>Sam Stevens</t>
  </si>
  <si>
    <t>Samir Ahmad</t>
  </si>
  <si>
    <t>Theo Mellor</t>
  </si>
  <si>
    <t>Paid 120? Add £13.50 to LT subs</t>
  </si>
  <si>
    <t>Toby Holmes</t>
  </si>
  <si>
    <t>Toby Minor</t>
  </si>
  <si>
    <t>Tom Cunliffe</t>
  </si>
  <si>
    <t>Tom Faulkner</t>
  </si>
  <si>
    <t>Get him a kit receipt</t>
  </si>
  <si>
    <t>Tom Skerret</t>
  </si>
  <si>
    <t>Varun Singh</t>
  </si>
  <si>
    <t>Wilf Stokhuyzen</t>
  </si>
  <si>
    <t>Will Laird</t>
  </si>
  <si>
    <t>Will Stubbs</t>
  </si>
  <si>
    <t>Zack Fecher</t>
  </si>
  <si>
    <t>take £50 off LT subs - GK bag</t>
  </si>
  <si>
    <t>Base Rate</t>
  </si>
  <si>
    <t>League Fees</t>
  </si>
  <si>
    <t>BUCS fees</t>
  </si>
  <si>
    <t>Travel reimb</t>
  </si>
  <si>
    <t>Umpire reimb</t>
  </si>
  <si>
    <t>Kit</t>
  </si>
  <si>
    <t>Saxon</t>
  </si>
  <si>
    <t>Y1</t>
  </si>
  <si>
    <t>Misc</t>
  </si>
  <si>
    <t>Already paid returner subs</t>
  </si>
  <si>
    <t>didn't train</t>
  </si>
  <si>
    <t>Freddie Ogilvie</t>
  </si>
  <si>
    <t>for Wandies taxis</t>
  </si>
  <si>
    <t>Late fine</t>
  </si>
  <si>
    <t>reimbursed</t>
  </si>
  <si>
    <t>Oliver Knight</t>
  </si>
  <si>
    <t>illness</t>
  </si>
  <si>
    <t>Peter Jansen</t>
  </si>
  <si>
    <t>injury</t>
  </si>
  <si>
    <t>reimbursed for not training until Mid November</t>
  </si>
  <si>
    <t>match fee reimbursed</t>
  </si>
  <si>
    <t>Y1 + saxon</t>
  </si>
  <si>
    <t>Player</t>
  </si>
  <si>
    <t>Blues Saturday</t>
  </si>
  <si>
    <t>Wandies Saturday</t>
  </si>
  <si>
    <t>Squandies Saturday</t>
  </si>
  <si>
    <t>Blundies Saturday</t>
  </si>
  <si>
    <t>Total Saturday League Appearances</t>
  </si>
  <si>
    <t>Total Match Fees</t>
  </si>
  <si>
    <t>Freddie McElware-John</t>
  </si>
  <si>
    <t>James McKinley-Smith</t>
  </si>
  <si>
    <t>Zach Fecher</t>
  </si>
  <si>
    <t>Blues BUCS</t>
  </si>
  <si>
    <t>Wandies BUCS</t>
  </si>
  <si>
    <t>Total BUCS Appearances</t>
  </si>
  <si>
    <t>Owed</t>
  </si>
  <si>
    <t>Amount owed / £</t>
  </si>
  <si>
    <t>Friendlies</t>
  </si>
  <si>
    <t>BUCS</t>
  </si>
  <si>
    <t>League</t>
  </si>
  <si>
    <t>Rob Lewis</t>
  </si>
  <si>
    <t>Bev Budd</t>
  </si>
  <si>
    <t>Josh Ripley</t>
  </si>
  <si>
    <t>Jenna Langley</t>
  </si>
  <si>
    <t>edited 07/01</t>
  </si>
  <si>
    <t>Sian Rees</t>
  </si>
  <si>
    <t>Ian Wilson</t>
  </si>
  <si>
    <t>Felix Polonius</t>
  </si>
  <si>
    <t>Cal Wolvers</t>
  </si>
  <si>
    <t>Maia Polonius</t>
  </si>
  <si>
    <t>Millie Ely</t>
  </si>
  <si>
    <t>Jack Childs</t>
  </si>
  <si>
    <t>James MS</t>
  </si>
  <si>
    <t>Katie Jeans</t>
  </si>
  <si>
    <t>Total included in subs</t>
  </si>
  <si>
    <t>Home shirt</t>
  </si>
  <si>
    <t>Away shirt</t>
  </si>
  <si>
    <t xml:space="preserve">Shorts </t>
  </si>
  <si>
    <t>Total cost</t>
  </si>
  <si>
    <t xml:space="preserve">Adam Mills </t>
  </si>
  <si>
    <t>Cost of shirt</t>
  </si>
  <si>
    <t>Cost of shorts</t>
  </si>
  <si>
    <t xml:space="preserve">Alex Warren </t>
  </si>
  <si>
    <t xml:space="preserve">Ben Crook </t>
  </si>
  <si>
    <t xml:space="preserve">Ben Tremblay </t>
  </si>
  <si>
    <t xml:space="preserve">Callum Wolvers </t>
  </si>
  <si>
    <t xml:space="preserve">Calum Stephenson </t>
  </si>
  <si>
    <t xml:space="preserve">Campbell Mackenzie </t>
  </si>
  <si>
    <t xml:space="preserve">Finn Dovey </t>
  </si>
  <si>
    <t xml:space="preserve">Finn Macare </t>
  </si>
  <si>
    <t xml:space="preserve">Henry Forrest </t>
  </si>
  <si>
    <t xml:space="preserve">Jacob Schwandt </t>
  </si>
  <si>
    <t xml:space="preserve">James Cake </t>
  </si>
  <si>
    <t xml:space="preserve">Joseph Preddy </t>
  </si>
  <si>
    <t xml:space="preserve">Keiran Patel </t>
  </si>
  <si>
    <t xml:space="preserve">Kyrill Borzenko </t>
  </si>
  <si>
    <t xml:space="preserve">Louis Patel </t>
  </si>
  <si>
    <t xml:space="preserve">Matt Braviner </t>
  </si>
  <si>
    <t xml:space="preserve">Matt Vennard </t>
  </si>
  <si>
    <t xml:space="preserve">Nick Barclay </t>
  </si>
  <si>
    <t xml:space="preserve">Ollie Bell </t>
  </si>
  <si>
    <t xml:space="preserve">Ollie Knight </t>
  </si>
  <si>
    <t xml:space="preserve">Robbie Barnett </t>
  </si>
  <si>
    <t xml:space="preserve">Sam Martin </t>
  </si>
  <si>
    <t>Cost</t>
  </si>
  <si>
    <t>Quantity</t>
  </si>
  <si>
    <t>Matthew Braviner</t>
  </si>
  <si>
    <t>Thomas Faulkner</t>
  </si>
  <si>
    <t>Size</t>
  </si>
  <si>
    <t>Initals (if desired)</t>
  </si>
  <si>
    <t>BLACK-BLUE-BLACK</t>
  </si>
  <si>
    <t>WHITE-BLUE-WHITE</t>
  </si>
  <si>
    <t>S</t>
  </si>
  <si>
    <t>SB</t>
  </si>
  <si>
    <t>M</t>
  </si>
  <si>
    <t>ZBF</t>
  </si>
  <si>
    <t xml:space="preserve"> M</t>
  </si>
  <si>
    <t>AWJ</t>
  </si>
  <si>
    <t>GEC</t>
  </si>
  <si>
    <t>TO DO</t>
  </si>
  <si>
    <t>Pay external umpires</t>
  </si>
  <si>
    <t>Get kit costs from Felix</t>
  </si>
  <si>
    <t>Get umpiring from Sam/Rhys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</si>
</sst>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-809]#,##0.00"/>
    <numFmt numFmtId="165" formatCode="d/m/yy hh:mm"/>
    <numFmt numFmtId="166" formatCode="&quot;£&quot;#,##0.00"/>
    <numFmt numFmtId="167" formatCode="&quot;£&quot;#,##0"/>
  </numFmts>
  <fonts count="17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theme="1"/>
      <name val="Arial"/>
      <scheme val="minor"/>
    </font>
    <font>
      <sz val="11.0"/>
      <color rgb="FF242424"/>
      <name val="Arial"/>
      <scheme val="minor"/>
    </font>
    <font>
      <color theme="1"/>
      <name val="Arial"/>
    </font>
    <font>
      <sz val="11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theme="1"/>
      <name val="Arial"/>
    </font>
    <font>
      <sz val="11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91B9A4"/>
        <bgColor rgb="FF91B9A4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</fills>
  <borders count="5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Font="1"/>
    <xf borderId="2" fillId="0" fontId="4" numFmtId="0" xfId="0" applyAlignment="1" applyBorder="1" applyFont="1">
      <alignment readingOrder="0" shrinkToFit="0" vertical="bottom" wrapText="0"/>
    </xf>
    <xf borderId="2" fillId="0" fontId="3" numFmtId="0" xfId="0" applyBorder="1" applyFont="1"/>
    <xf borderId="2" fillId="0" fontId="3" numFmtId="0" xfId="0" applyAlignment="1" applyBorder="1" applyFont="1">
      <alignment horizontal="center" readingOrder="0"/>
    </xf>
    <xf borderId="3" fillId="2" fontId="5" numFmtId="0" xfId="0" applyAlignment="1" applyBorder="1" applyFill="1" applyFont="1">
      <alignment horizontal="center" vertical="bottom"/>
    </xf>
    <xf borderId="4" fillId="0" fontId="6" numFmtId="0" xfId="0" applyBorder="1" applyFont="1"/>
    <xf borderId="2" fillId="0" fontId="3" numFmtId="0" xfId="0" applyAlignment="1" applyBorder="1" applyFont="1">
      <alignment readingOrder="0"/>
    </xf>
    <xf borderId="2" fillId="2" fontId="5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readingOrder="0" vertical="bottom"/>
    </xf>
    <xf borderId="3" fillId="2" fontId="7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/>
    </xf>
    <xf borderId="2" fillId="0" fontId="3" numFmtId="164" xfId="0" applyBorder="1" applyFont="1" applyNumberFormat="1"/>
    <xf borderId="2" fillId="3" fontId="9" numFmtId="0" xfId="0" applyAlignment="1" applyBorder="1" applyFill="1" applyFont="1">
      <alignment horizontal="right"/>
    </xf>
    <xf borderId="2" fillId="0" fontId="3" numFmtId="165" xfId="0" applyAlignment="1" applyBorder="1" applyFont="1" applyNumberFormat="1">
      <alignment readingOrder="0"/>
    </xf>
    <xf borderId="2" fillId="4" fontId="3" numFmtId="0" xfId="0" applyBorder="1" applyFill="1" applyFont="1"/>
    <xf borderId="0" fillId="0" fontId="3" numFmtId="0" xfId="0" applyAlignment="1" applyFont="1">
      <alignment readingOrder="0"/>
    </xf>
    <xf borderId="2" fillId="5" fontId="3" numFmtId="0" xfId="0" applyBorder="1" applyFill="1" applyFont="1"/>
    <xf borderId="0" fillId="0" fontId="3" numFmtId="0" xfId="0" applyAlignment="1" applyFont="1">
      <alignment horizontal="center"/>
    </xf>
    <xf borderId="0" fillId="0" fontId="10" numFmtId="0" xfId="0" applyAlignment="1" applyFont="1">
      <alignment vertical="bottom"/>
    </xf>
    <xf borderId="1" fillId="6" fontId="8" numFmtId="0" xfId="0" applyAlignment="1" applyBorder="1" applyFill="1" applyFont="1">
      <alignment vertical="bottom"/>
    </xf>
    <xf borderId="0" fillId="6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2" fillId="6" fontId="8" numFmtId="0" xfId="0" applyAlignment="1" applyBorder="1" applyFont="1">
      <alignment horizontal="center" readingOrder="0"/>
    </xf>
    <xf borderId="2" fillId="0" fontId="11" numFmtId="0" xfId="0" applyAlignment="1" applyBorder="1" applyFont="1">
      <alignment readingOrder="0" shrinkToFit="0" vertical="bottom" wrapText="0"/>
    </xf>
    <xf borderId="2" fillId="0" fontId="11" numFmtId="0" xfId="0" applyBorder="1" applyFont="1"/>
    <xf borderId="2" fillId="7" fontId="8" numFmtId="0" xfId="0" applyBorder="1" applyFill="1" applyFont="1"/>
    <xf borderId="0" fillId="0" fontId="11" numFmtId="0" xfId="0" applyAlignment="1" applyFont="1">
      <alignment readingOrder="0" shrinkToFit="0" vertical="bottom" wrapText="0"/>
    </xf>
    <xf borderId="2" fillId="3" fontId="3" numFmtId="0" xfId="0" applyAlignment="1" applyBorder="1" applyFont="1">
      <alignment vertical="bottom"/>
    </xf>
    <xf borderId="2" fillId="0" fontId="3" numFmtId="49" xfId="0" applyBorder="1" applyFont="1" applyNumberFormat="1"/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2" fillId="0" fontId="11" numFmtId="0" xfId="0" applyAlignment="1" applyBorder="1" applyFont="1">
      <alignment readingOrder="0"/>
    </xf>
    <xf borderId="0" fillId="0" fontId="8" numFmtId="0" xfId="0" applyFont="1"/>
    <xf borderId="0" fillId="0" fontId="3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0"/>
    </xf>
    <xf borderId="0" fillId="8" fontId="12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4" numFmtId="0" xfId="0" applyFont="1"/>
    <xf borderId="2" fillId="6" fontId="14" numFmtId="0" xfId="0" applyAlignment="1" applyBorder="1" applyFont="1">
      <alignment readingOrder="0"/>
    </xf>
    <xf borderId="2" fillId="0" fontId="14" numFmtId="0" xfId="0" applyAlignment="1" applyBorder="1" applyFont="1">
      <alignment readingOrder="0"/>
    </xf>
    <xf borderId="2" fillId="6" fontId="4" numFmtId="0" xfId="0" applyAlignment="1" applyBorder="1" applyFont="1">
      <alignment readingOrder="0" shrinkToFit="0" vertical="bottom" wrapText="0"/>
    </xf>
    <xf borderId="2" fillId="6" fontId="13" numFmtId="0" xfId="0" applyAlignment="1" applyBorder="1" applyFont="1">
      <alignment readingOrder="0" shrinkToFit="0" vertical="bottom" wrapText="0"/>
    </xf>
    <xf borderId="2" fillId="0" fontId="13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right" shrinkToFit="0" vertical="bottom" wrapText="0"/>
    </xf>
    <xf borderId="2" fillId="0" fontId="13" numFmtId="0" xfId="0" applyAlignment="1" applyBorder="1" applyFont="1">
      <alignment horizontal="right" readingOrder="0" shrinkToFit="0" vertical="bottom" wrapText="0"/>
    </xf>
    <xf borderId="2" fillId="0" fontId="14" numFmtId="0" xfId="0" applyBorder="1" applyFont="1"/>
    <xf borderId="2" fillId="0" fontId="13" numFmtId="0" xfId="0" applyAlignment="1" applyBorder="1" applyFont="1">
      <alignment horizontal="right" shrinkToFit="0" vertical="bottom" wrapText="0"/>
    </xf>
    <xf borderId="2" fillId="0" fontId="13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0" fillId="0" fontId="14" numFmtId="0" xfId="0" applyAlignment="1" applyFont="1">
      <alignment readingOrder="0"/>
    </xf>
    <xf borderId="2" fillId="0" fontId="4" numFmtId="0" xfId="0" applyAlignment="1" applyBorder="1" applyFont="1">
      <alignment readingOrder="0" shrinkToFit="0" vertical="bottom" wrapText="0"/>
    </xf>
    <xf borderId="2" fillId="6" fontId="10" numFmtId="0" xfId="0" applyAlignment="1" applyBorder="1" applyFont="1">
      <alignment readingOrder="0" vertical="bottom"/>
    </xf>
    <xf borderId="2" fillId="3" fontId="10" numFmtId="0" xfId="0" applyAlignment="1" applyBorder="1" applyFont="1">
      <alignment vertical="bottom"/>
    </xf>
    <xf borderId="2" fillId="0" fontId="10" numFmtId="0" xfId="0" applyAlignment="1" applyBorder="1" applyFont="1">
      <alignment readingOrder="0" vertical="bottom"/>
    </xf>
    <xf borderId="2" fillId="0" fontId="14" numFmtId="49" xfId="0" applyAlignment="1" applyBorder="1" applyFont="1" applyNumberFormat="1">
      <alignment horizontal="right"/>
    </xf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2" fillId="0" fontId="10" numFmtId="0" xfId="0" applyAlignment="1" applyBorder="1" applyFont="1">
      <alignment vertical="bottom"/>
    </xf>
    <xf borderId="2" fillId="3" fontId="10" numFmtId="0" xfId="0" applyAlignment="1" applyBorder="1" applyFont="1">
      <alignment readingOrder="0" vertical="bottom"/>
    </xf>
    <xf borderId="2" fillId="0" fontId="0" numFmtId="0" xfId="0" applyAlignment="1" applyBorder="1" applyFont="1">
      <alignment readingOrder="0" shrinkToFit="0" vertical="bottom" wrapText="0"/>
    </xf>
    <xf borderId="2" fillId="8" fontId="10" numFmtId="0" xfId="0" applyAlignment="1" applyBorder="1" applyFont="1">
      <alignment vertical="bottom"/>
    </xf>
    <xf borderId="2" fillId="8" fontId="10" numFmtId="0" xfId="0" applyAlignment="1" applyBorder="1" applyFont="1">
      <alignment readingOrder="0" vertical="bottom"/>
    </xf>
    <xf borderId="2" fillId="0" fontId="10" numFmtId="166" xfId="0" applyAlignment="1" applyBorder="1" applyFont="1" applyNumberFormat="1">
      <alignment horizontal="right" readingOrder="0" vertical="bottom"/>
    </xf>
    <xf borderId="2" fillId="0" fontId="14" numFmtId="166" xfId="0" applyAlignment="1" applyBorder="1" applyFont="1" applyNumberFormat="1">
      <alignment readingOrder="0"/>
    </xf>
    <xf borderId="2" fillId="9" fontId="15" numFmtId="0" xfId="0" applyAlignment="1" applyBorder="1" applyFill="1" applyFont="1">
      <alignment vertical="bottom"/>
    </xf>
    <xf borderId="2" fillId="10" fontId="15" numFmtId="0" xfId="0" applyAlignment="1" applyBorder="1" applyFill="1" applyFont="1">
      <alignment vertical="bottom"/>
    </xf>
    <xf borderId="2" fillId="11" fontId="16" numFmtId="0" xfId="0" applyAlignment="1" applyBorder="1" applyFill="1" applyFont="1">
      <alignment vertical="bottom"/>
    </xf>
    <xf borderId="2" fillId="3" fontId="15" numFmtId="0" xfId="0" applyAlignment="1" applyBorder="1" applyFont="1">
      <alignment vertical="bottom"/>
    </xf>
    <xf borderId="2" fillId="2" fontId="10" numFmtId="166" xfId="0" applyAlignment="1" applyBorder="1" applyFont="1" applyNumberFormat="1">
      <alignment horizontal="right" vertical="bottom"/>
    </xf>
    <xf borderId="2" fillId="0" fontId="10" numFmtId="0" xfId="0" applyAlignment="1" applyBorder="1" applyFont="1">
      <alignment horizontal="right" vertical="bottom"/>
    </xf>
    <xf borderId="2" fillId="2" fontId="10" numFmtId="0" xfId="0" applyAlignment="1" applyBorder="1" applyFont="1">
      <alignment horizontal="right" vertical="bottom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4" max="4" width="50.88"/>
    <col customWidth="1" min="6" max="6" width="26.0"/>
    <col customWidth="1" min="7" max="7" width="45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>
        <f>Breakdown!K2</f>
        <v>16</v>
      </c>
      <c r="C2" s="7" t="s">
        <v>5</v>
      </c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</v>
      </c>
      <c r="B3" s="6">
        <f>Breakdown!K3</f>
        <v>204</v>
      </c>
      <c r="C3" s="7" t="s">
        <v>5</v>
      </c>
      <c r="D3" s="6"/>
      <c r="E3" s="4"/>
      <c r="F3" s="8" t="s">
        <v>7</v>
      </c>
      <c r="G3" s="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8</v>
      </c>
      <c r="B4" s="6">
        <f>Breakdown!K4</f>
        <v>12</v>
      </c>
      <c r="C4" s="7" t="s">
        <v>5</v>
      </c>
      <c r="D4" s="10"/>
      <c r="E4" s="4"/>
      <c r="F4" s="11" t="s">
        <v>9</v>
      </c>
      <c r="G4" s="12" t="s">
        <v>10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11</v>
      </c>
      <c r="B5" s="6">
        <f>Breakdown!K5</f>
        <v>8</v>
      </c>
      <c r="C5" s="7" t="s">
        <v>5</v>
      </c>
      <c r="D5" s="6"/>
      <c r="E5" s="4"/>
      <c r="F5" s="11" t="s">
        <v>12</v>
      </c>
      <c r="G5" s="12">
        <v>7.2372762E7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13</v>
      </c>
      <c r="B6" s="6">
        <f>Breakdown!K6</f>
        <v>143</v>
      </c>
      <c r="C6" s="7" t="s">
        <v>5</v>
      </c>
      <c r="D6" s="6"/>
      <c r="E6" s="4"/>
      <c r="F6" s="11" t="s">
        <v>14</v>
      </c>
      <c r="G6" s="12" t="s">
        <v>15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16</v>
      </c>
      <c r="B7" s="6">
        <f>Breakdown!K7</f>
        <v>173.2</v>
      </c>
      <c r="C7" s="7" t="s">
        <v>5</v>
      </c>
      <c r="D7" s="10"/>
      <c r="E7" s="4"/>
      <c r="F7" s="11" t="s">
        <v>17</v>
      </c>
      <c r="G7" s="13" t="s">
        <v>18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19</v>
      </c>
      <c r="B8" s="6">
        <f>Breakdown!K8</f>
        <v>302.19</v>
      </c>
      <c r="C8" s="7" t="s">
        <v>5</v>
      </c>
      <c r="D8" s="6"/>
      <c r="E8" s="4"/>
      <c r="F8" s="11" t="s">
        <v>20</v>
      </c>
      <c r="G8" s="13" t="s">
        <v>21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22</v>
      </c>
      <c r="B9" s="6">
        <f>Breakdown!K9</f>
        <v>284.2</v>
      </c>
      <c r="C9" s="7" t="s">
        <v>5</v>
      </c>
      <c r="D9" s="10"/>
      <c r="E9" s="4"/>
      <c r="F9" s="14" t="s">
        <v>23</v>
      </c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24</v>
      </c>
      <c r="B10" s="6">
        <f>Breakdown!K10</f>
        <v>92.5</v>
      </c>
      <c r="C10" s="7" t="s">
        <v>5</v>
      </c>
      <c r="D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25</v>
      </c>
      <c r="B11" s="6">
        <f>Breakdown!K11</f>
        <v>101</v>
      </c>
      <c r="C11" s="7" t="s">
        <v>5</v>
      </c>
      <c r="D11" s="6"/>
      <c r="E11" s="4"/>
      <c r="F11" s="15" t="s">
        <v>26</v>
      </c>
      <c r="G11" s="9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27</v>
      </c>
      <c r="B12" s="6">
        <f>Breakdown!K12</f>
        <v>80.5</v>
      </c>
      <c r="C12" s="7" t="s">
        <v>5</v>
      </c>
      <c r="D12" s="6"/>
      <c r="E12" s="4"/>
      <c r="F12" s="10" t="s">
        <v>28</v>
      </c>
      <c r="G12" s="16">
        <f>sum('TO PAY'!B2:B100)</f>
        <v>9493.38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29</v>
      </c>
      <c r="B13" s="6">
        <f>Breakdown!K13</f>
        <v>68.5</v>
      </c>
      <c r="C13" s="7" t="s">
        <v>5</v>
      </c>
      <c r="D13" s="10"/>
      <c r="E13" s="4"/>
      <c r="F13" s="10" t="s">
        <v>30</v>
      </c>
      <c r="G13" s="16">
        <f>SUMIF('TO PAY'!C2:C99,"Yes",'TO PAY'!B2:B99)</f>
        <v>9358.38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31</v>
      </c>
      <c r="B14" s="6">
        <f>Breakdown!K14</f>
        <v>10</v>
      </c>
      <c r="C14" s="7" t="s">
        <v>5</v>
      </c>
      <c r="D14" s="10"/>
      <c r="E14" s="4"/>
      <c r="F14" s="10" t="s">
        <v>32</v>
      </c>
      <c r="G14" s="16">
        <f>SUMIF('TO PAY'!C2:C100,"No",'TO PAY'!B2:B100)</f>
        <v>135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33</v>
      </c>
      <c r="B15" s="6">
        <f>Breakdown!K15</f>
        <v>204</v>
      </c>
      <c r="C15" s="7" t="s">
        <v>5</v>
      </c>
      <c r="D15" s="10"/>
      <c r="E15" s="4"/>
      <c r="F15" s="10" t="s">
        <v>34</v>
      </c>
      <c r="G15" s="6">
        <f>85-G16</f>
        <v>84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35</v>
      </c>
      <c r="B16" s="6">
        <f>Breakdown!K16</f>
        <v>192</v>
      </c>
      <c r="C16" s="7" t="s">
        <v>5</v>
      </c>
      <c r="D16" s="10"/>
      <c r="E16" s="4"/>
      <c r="F16" s="10" t="s">
        <v>36</v>
      </c>
      <c r="G16" s="17">
        <f>COUNTIF('TO PAY'!C2:C100,"No")</f>
        <v>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37</v>
      </c>
      <c r="B17" s="6">
        <f>Breakdown!K17</f>
        <v>306.2</v>
      </c>
      <c r="C17" s="7" t="s">
        <v>5</v>
      </c>
      <c r="D17" s="10"/>
      <c r="E17" s="4"/>
      <c r="F17" s="10" t="s">
        <v>38</v>
      </c>
      <c r="G17" s="18">
        <v>46008.604166666664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39</v>
      </c>
      <c r="B18" s="6">
        <f>Breakdown!K18</f>
        <v>92.5</v>
      </c>
      <c r="C18" s="7" t="s">
        <v>5</v>
      </c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40</v>
      </c>
      <c r="B19" s="6">
        <f>Breakdown!K19</f>
        <v>76.5</v>
      </c>
      <c r="C19" s="7" t="s">
        <v>5</v>
      </c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41</v>
      </c>
      <c r="B20" s="6">
        <f>Breakdown!K20</f>
        <v>93.92</v>
      </c>
      <c r="C20" s="7" t="s">
        <v>5</v>
      </c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42</v>
      </c>
      <c r="B21" s="6">
        <f>Breakdown!K21</f>
        <v>78</v>
      </c>
      <c r="C21" s="7" t="s">
        <v>5</v>
      </c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43</v>
      </c>
      <c r="B22" s="6">
        <f>Breakdown!K22</f>
        <v>192</v>
      </c>
      <c r="C22" s="7" t="s">
        <v>5</v>
      </c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44</v>
      </c>
      <c r="B23" s="6">
        <f>Breakdown!K23</f>
        <v>264.2</v>
      </c>
      <c r="C23" s="7" t="s">
        <v>5</v>
      </c>
      <c r="D23" s="1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45</v>
      </c>
      <c r="B24" s="6">
        <f>Breakdown!K24</f>
        <v>122</v>
      </c>
      <c r="C24" s="7" t="s">
        <v>5</v>
      </c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46</v>
      </c>
      <c r="B25" s="6">
        <f>Breakdown!K25</f>
        <v>240</v>
      </c>
      <c r="C25" s="7" t="s">
        <v>5</v>
      </c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47</v>
      </c>
      <c r="B26" s="6">
        <f>Breakdown!K26</f>
        <v>0</v>
      </c>
      <c r="C26" s="7" t="s">
        <v>5</v>
      </c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48</v>
      </c>
      <c r="B27" s="6">
        <f>Breakdown!K27</f>
        <v>156.7</v>
      </c>
      <c r="C27" s="7" t="s">
        <v>5</v>
      </c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49</v>
      </c>
      <c r="B28" s="19">
        <f>Breakdown!K28</f>
        <v>-5.1</v>
      </c>
      <c r="C28" s="7" t="s">
        <v>5</v>
      </c>
      <c r="D28" s="10" t="s">
        <v>50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51</v>
      </c>
      <c r="B29" s="6">
        <f>Breakdown!K29</f>
        <v>88.5</v>
      </c>
      <c r="C29" s="7" t="s">
        <v>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52</v>
      </c>
      <c r="B30" s="6">
        <f>Breakdown!K30</f>
        <v>216</v>
      </c>
      <c r="C30" s="7" t="s">
        <v>5</v>
      </c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53</v>
      </c>
      <c r="B31" s="6">
        <f>Breakdown!K31</f>
        <v>208</v>
      </c>
      <c r="C31" s="7" t="s">
        <v>5</v>
      </c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54</v>
      </c>
      <c r="B32" s="6">
        <f>Breakdown!K32</f>
        <v>22.9</v>
      </c>
      <c r="C32" s="7" t="s">
        <v>5</v>
      </c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55</v>
      </c>
      <c r="B33" s="6">
        <f>Breakdown!K33</f>
        <v>161.7</v>
      </c>
      <c r="C33" s="7" t="s">
        <v>5</v>
      </c>
      <c r="D33" s="10" t="s">
        <v>56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57</v>
      </c>
      <c r="B34" s="6">
        <f>Breakdown!K34</f>
        <v>153.5</v>
      </c>
      <c r="C34" s="7" t="s">
        <v>5</v>
      </c>
      <c r="D34" s="10" t="s">
        <v>58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59</v>
      </c>
      <c r="B35" s="6">
        <f>Breakdown!K35</f>
        <v>261.68</v>
      </c>
      <c r="C35" s="7" t="s">
        <v>5</v>
      </c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60</v>
      </c>
      <c r="B36" s="6">
        <f>Breakdown!K36</f>
        <v>148.7</v>
      </c>
      <c r="C36" s="7" t="s">
        <v>5</v>
      </c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61</v>
      </c>
      <c r="B37" s="6">
        <f>Breakdown!K37</f>
        <v>72.5</v>
      </c>
      <c r="C37" s="7" t="s">
        <v>5</v>
      </c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62</v>
      </c>
      <c r="B38" s="6">
        <f>Breakdown!K38</f>
        <v>68.5</v>
      </c>
      <c r="C38" s="7" t="s">
        <v>5</v>
      </c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63</v>
      </c>
      <c r="B39" s="6">
        <f>Breakdown!K39</f>
        <v>28</v>
      </c>
      <c r="C39" s="7" t="s">
        <v>5</v>
      </c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64</v>
      </c>
      <c r="B40" s="6">
        <f>Breakdown!K40</f>
        <v>106.5</v>
      </c>
      <c r="C40" s="7" t="s">
        <v>5</v>
      </c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65</v>
      </c>
      <c r="B41" s="6">
        <f>Breakdown!K41</f>
        <v>284.2</v>
      </c>
      <c r="C41" s="7" t="s">
        <v>5</v>
      </c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66</v>
      </c>
      <c r="B42" s="6">
        <f>Breakdown!K42</f>
        <v>203</v>
      </c>
      <c r="C42" s="7" t="s">
        <v>5</v>
      </c>
      <c r="D42" s="1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67</v>
      </c>
      <c r="B43" s="6">
        <f>Breakdown!K43</f>
        <v>242</v>
      </c>
      <c r="C43" s="7" t="s">
        <v>5</v>
      </c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68</v>
      </c>
      <c r="B44" s="19">
        <f>Breakdown!K44</f>
        <v>-34.9</v>
      </c>
      <c r="C44" s="7" t="s">
        <v>5</v>
      </c>
      <c r="D44" s="10"/>
      <c r="E44" s="4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69</v>
      </c>
      <c r="B45" s="6">
        <f>Breakdown!K45</f>
        <v>84.5</v>
      </c>
      <c r="C45" s="7" t="s">
        <v>5</v>
      </c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70</v>
      </c>
      <c r="B46" s="6">
        <f>Breakdown!K46</f>
        <v>76.5</v>
      </c>
      <c r="C46" s="7" t="s">
        <v>5</v>
      </c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71</v>
      </c>
      <c r="B47" s="19">
        <f>Breakdown!K47</f>
        <v>-18.5</v>
      </c>
      <c r="C47" s="7" t="s">
        <v>5</v>
      </c>
      <c r="D47" s="6"/>
      <c r="E47" s="4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72</v>
      </c>
      <c r="B48" s="6">
        <f>Breakdown!K48</f>
        <v>20.5</v>
      </c>
      <c r="C48" s="7" t="s">
        <v>5</v>
      </c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73</v>
      </c>
      <c r="B49" s="6">
        <f>Breakdown!K49</f>
        <v>32.7</v>
      </c>
      <c r="C49" s="7" t="s">
        <v>5</v>
      </c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74</v>
      </c>
      <c r="B50" s="6">
        <f>Breakdown!K50</f>
        <v>212</v>
      </c>
      <c r="C50" s="7" t="s">
        <v>5</v>
      </c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75</v>
      </c>
      <c r="B51" s="6">
        <f>Breakdown!K51</f>
        <v>142.7</v>
      </c>
      <c r="C51" s="7" t="s">
        <v>5</v>
      </c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76</v>
      </c>
      <c r="B52" s="6">
        <f>Breakdown!K52</f>
        <v>260.2</v>
      </c>
      <c r="C52" s="7" t="s">
        <v>5</v>
      </c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77</v>
      </c>
      <c r="B53" s="6">
        <f>Breakdown!K53</f>
        <v>18.01</v>
      </c>
      <c r="C53" s="7" t="s">
        <v>5</v>
      </c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78</v>
      </c>
      <c r="B54" s="6">
        <f>Breakdown!K54</f>
        <v>72.5</v>
      </c>
      <c r="C54" s="7" t="s">
        <v>5</v>
      </c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79</v>
      </c>
      <c r="B55" s="6">
        <f>Breakdown!K55</f>
        <v>296.2</v>
      </c>
      <c r="C55" s="7" t="s">
        <v>5</v>
      </c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80</v>
      </c>
      <c r="B56" s="6">
        <f>Breakdown!K56</f>
        <v>208</v>
      </c>
      <c r="C56" s="7" t="s">
        <v>5</v>
      </c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81</v>
      </c>
      <c r="B57" s="21">
        <f>Breakdown!K57</f>
        <v>-123.3</v>
      </c>
      <c r="C57" s="7" t="s">
        <v>5</v>
      </c>
      <c r="D57" s="10" t="s">
        <v>82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83</v>
      </c>
      <c r="B58" s="6">
        <f>Breakdown!K58</f>
        <v>161.5</v>
      </c>
      <c r="C58" s="7" t="s">
        <v>5</v>
      </c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84</v>
      </c>
      <c r="B59" s="6">
        <f>Breakdown!K59</f>
        <v>97</v>
      </c>
      <c r="C59" s="7" t="s">
        <v>5</v>
      </c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85</v>
      </c>
      <c r="B60" s="6">
        <f>Breakdown!K60</f>
        <v>306.2</v>
      </c>
      <c r="C60" s="7" t="s">
        <v>5</v>
      </c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86</v>
      </c>
      <c r="B61" s="6">
        <f>Breakdown!K61</f>
        <v>101.5</v>
      </c>
      <c r="C61" s="7" t="s">
        <v>5</v>
      </c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87</v>
      </c>
      <c r="B62" s="6">
        <f>Breakdown!K62</f>
        <v>88.5</v>
      </c>
      <c r="C62" s="7" t="s">
        <v>5</v>
      </c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88</v>
      </c>
      <c r="B63" s="6">
        <f>Breakdown!K63</f>
        <v>163.4</v>
      </c>
      <c r="C63" s="7" t="s">
        <v>5</v>
      </c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89</v>
      </c>
      <c r="B64" s="6">
        <f>Breakdown!K64</f>
        <v>135</v>
      </c>
      <c r="C64" s="7" t="s">
        <v>90</v>
      </c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91</v>
      </c>
      <c r="B65" s="19">
        <f>Breakdown!K65</f>
        <v>-66.6</v>
      </c>
      <c r="C65" s="7" t="s">
        <v>5</v>
      </c>
      <c r="D65" s="10"/>
      <c r="E65" s="4"/>
      <c r="F65" s="2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92</v>
      </c>
      <c r="B66" s="19">
        <f>Breakdown!K66</f>
        <v>-3.5</v>
      </c>
      <c r="C66" s="7" t="s">
        <v>5</v>
      </c>
      <c r="D66" s="10" t="s">
        <v>82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93</v>
      </c>
      <c r="B67" s="6">
        <f>Breakdown!K67</f>
        <v>80.5</v>
      </c>
      <c r="C67" s="7" t="s">
        <v>5</v>
      </c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94</v>
      </c>
      <c r="B68" s="6">
        <f>Breakdown!K68</f>
        <v>98.5</v>
      </c>
      <c r="C68" s="7" t="s">
        <v>5</v>
      </c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95</v>
      </c>
      <c r="B69" s="6">
        <f>Breakdown!K69</f>
        <v>201</v>
      </c>
      <c r="C69" s="7" t="s">
        <v>5</v>
      </c>
      <c r="D69" s="10" t="s">
        <v>96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97</v>
      </c>
      <c r="B70" s="6">
        <f>Breakdown!K70</f>
        <v>118.49</v>
      </c>
      <c r="C70" s="7" t="s">
        <v>5</v>
      </c>
      <c r="D70" s="1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98</v>
      </c>
      <c r="B71" s="19">
        <f>Breakdown!K71</f>
        <v>-54.3</v>
      </c>
      <c r="C71" s="7" t="s">
        <v>5</v>
      </c>
      <c r="D71" s="6"/>
      <c r="E71" s="4"/>
      <c r="F71" s="2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99</v>
      </c>
      <c r="B72" s="6">
        <f>Breakdown!K72</f>
        <v>60.5</v>
      </c>
      <c r="C72" s="7" t="s">
        <v>5</v>
      </c>
      <c r="D72" s="1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100</v>
      </c>
      <c r="B73" s="6">
        <f>Breakdown!K73</f>
        <v>56</v>
      </c>
      <c r="C73" s="7" t="s">
        <v>5</v>
      </c>
      <c r="D73" s="10" t="s">
        <v>101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102</v>
      </c>
      <c r="B74" s="6">
        <f>Breakdown!K74</f>
        <v>98.5</v>
      </c>
      <c r="C74" s="7" t="s">
        <v>5</v>
      </c>
      <c r="D74" s="10" t="s">
        <v>101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103</v>
      </c>
      <c r="B75" s="6">
        <f>Breakdown!K75</f>
        <v>117</v>
      </c>
      <c r="C75" s="7" t="s">
        <v>5</v>
      </c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104</v>
      </c>
      <c r="B76" s="6">
        <f>Breakdown!K76</f>
        <v>133.5</v>
      </c>
      <c r="C76" s="7" t="s">
        <v>5</v>
      </c>
      <c r="D76" s="10" t="s">
        <v>105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106</v>
      </c>
      <c r="B77" s="6">
        <f>Breakdown!K77</f>
        <v>48</v>
      </c>
      <c r="C77" s="7" t="s">
        <v>5</v>
      </c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107</v>
      </c>
      <c r="B78" s="6">
        <f>Breakdown!K78</f>
        <v>68.5</v>
      </c>
      <c r="C78" s="7" t="s">
        <v>5</v>
      </c>
      <c r="D78" s="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108</v>
      </c>
      <c r="B79" s="6">
        <f>Breakdown!K79</f>
        <v>68.5</v>
      </c>
      <c r="C79" s="7" t="s">
        <v>5</v>
      </c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109</v>
      </c>
      <c r="B80" s="6">
        <f>Breakdown!K80</f>
        <v>204</v>
      </c>
      <c r="C80" s="7" t="s">
        <v>5</v>
      </c>
      <c r="D80" s="10" t="s">
        <v>110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111</v>
      </c>
      <c r="B81" s="6">
        <f>Breakdown!K81</f>
        <v>32.5</v>
      </c>
      <c r="C81" s="7" t="s">
        <v>5</v>
      </c>
      <c r="D81" s="1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112</v>
      </c>
      <c r="B82" s="6">
        <f>Breakdown!K82</f>
        <v>121.5</v>
      </c>
      <c r="C82" s="7" t="s">
        <v>5</v>
      </c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113</v>
      </c>
      <c r="B83" s="19">
        <f>Breakdown!K83</f>
        <v>-129.6</v>
      </c>
      <c r="C83" s="7" t="s">
        <v>5</v>
      </c>
      <c r="D83" s="10"/>
      <c r="E83" s="4"/>
      <c r="F83" s="2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114</v>
      </c>
      <c r="B84" s="6">
        <f>Breakdown!K84</f>
        <v>0</v>
      </c>
      <c r="C84" s="7" t="s">
        <v>5</v>
      </c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115</v>
      </c>
      <c r="B85" s="6">
        <f>Breakdown!K85</f>
        <v>88.5</v>
      </c>
      <c r="C85" s="7" t="s">
        <v>5</v>
      </c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116</v>
      </c>
      <c r="B86" s="6">
        <f>Breakdown!K86</f>
        <v>77.99</v>
      </c>
      <c r="C86" s="7" t="s">
        <v>5</v>
      </c>
      <c r="D86" s="10" t="s">
        <v>117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2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2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2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2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2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2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2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2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2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2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2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2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2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2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2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2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2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2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2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2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3"/>
      <c r="B973" s="4"/>
      <c r="C973" s="2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3"/>
      <c r="B974" s="4"/>
      <c r="C974" s="2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3"/>
      <c r="B975" s="4"/>
      <c r="C975" s="2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3"/>
      <c r="B976" s="4"/>
      <c r="C976" s="2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3"/>
      <c r="B977" s="4"/>
      <c r="C977" s="2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3"/>
      <c r="B978" s="4"/>
      <c r="C978" s="2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3"/>
      <c r="B979" s="4"/>
      <c r="C979" s="2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3"/>
      <c r="B980" s="4"/>
      <c r="C980" s="2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3"/>
      <c r="B981" s="4"/>
      <c r="C981" s="2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3"/>
      <c r="B982" s="4"/>
      <c r="C982" s="2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3"/>
      <c r="B983" s="4"/>
      <c r="C983" s="2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3"/>
      <c r="B984" s="4"/>
      <c r="C984" s="2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3"/>
      <c r="B985" s="4"/>
      <c r="C985" s="2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3"/>
      <c r="B986" s="4"/>
      <c r="C986" s="2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3"/>
      <c r="B987" s="4"/>
      <c r="C987" s="2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3"/>
      <c r="B988" s="4"/>
      <c r="C988" s="2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3"/>
      <c r="B989" s="4"/>
      <c r="C989" s="2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3"/>
      <c r="B990" s="4"/>
      <c r="C990" s="2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B991" s="4"/>
      <c r="C991" s="2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B992" s="4"/>
      <c r="C992" s="2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B993" s="4"/>
      <c r="C993" s="2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B994" s="4"/>
      <c r="C994" s="2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B995" s="4"/>
      <c r="C995" s="2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B996" s="4"/>
      <c r="C996" s="2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B997" s="4"/>
      <c r="C997" s="2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3">
    <mergeCell ref="F3:G3"/>
    <mergeCell ref="F9:G9"/>
    <mergeCell ref="F11:G11"/>
  </mergeCells>
  <conditionalFormatting sqref="C2:C86">
    <cfRule type="containsText" dxfId="0" priority="1" operator="containsText" text="No">
      <formula>NOT(ISERROR(SEARCH(("No"),(C2))))</formula>
    </cfRule>
  </conditionalFormatting>
  <conditionalFormatting sqref="C2:C86">
    <cfRule type="containsText" dxfId="1" priority="2" operator="containsText" text="YES">
      <formula>NOT(ISERROR(SEARCH(("YES"),(C2))))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75"/>
    <col customWidth="1" min="5" max="5" width="11.75"/>
    <col customWidth="1" min="6" max="6" width="12.88"/>
    <col customWidth="1" min="12" max="12" width="21.63"/>
    <col customWidth="1" min="13" max="13" width="21.25"/>
    <col customWidth="1" min="14" max="14" width="24.38"/>
  </cols>
  <sheetData>
    <row r="1">
      <c r="A1" s="24" t="s">
        <v>0</v>
      </c>
      <c r="B1" s="25" t="s">
        <v>118</v>
      </c>
      <c r="C1" s="25" t="s">
        <v>119</v>
      </c>
      <c r="D1" s="25" t="s">
        <v>120</v>
      </c>
      <c r="E1" s="25" t="s">
        <v>121</v>
      </c>
      <c r="F1" s="25" t="s">
        <v>122</v>
      </c>
      <c r="G1" s="25" t="s">
        <v>123</v>
      </c>
      <c r="H1" s="25" t="s">
        <v>124</v>
      </c>
      <c r="I1" s="25" t="s">
        <v>125</v>
      </c>
      <c r="J1" s="25" t="s">
        <v>126</v>
      </c>
      <c r="K1" s="25" t="s">
        <v>28</v>
      </c>
      <c r="L1" s="25" t="s">
        <v>3</v>
      </c>
      <c r="M1" s="26"/>
      <c r="N1" s="27" t="s">
        <v>127</v>
      </c>
      <c r="O1" s="26"/>
      <c r="P1" s="26"/>
      <c r="Q1" s="26"/>
      <c r="R1" s="26"/>
      <c r="S1" s="26"/>
      <c r="T1" s="26"/>
      <c r="U1" s="26"/>
      <c r="V1" s="26"/>
      <c r="W1" s="26"/>
      <c r="X1" s="26"/>
    </row>
    <row r="2">
      <c r="A2" s="28" t="s">
        <v>4</v>
      </c>
      <c r="B2" s="29"/>
      <c r="C2" s="6">
        <f>'League fees'!G2</f>
        <v>16</v>
      </c>
      <c r="D2" s="6">
        <f>'BUCS fees'!E2</f>
        <v>0</v>
      </c>
      <c r="E2" s="29" t="str">
        <f>IFERROR(VLOOKUP(A2, Travel!$A$2:$B$99, 2, FALSE), "")</f>
        <v/>
      </c>
      <c r="F2" s="6" t="str">
        <f>IFERROR(VLOOKUP(A2, Umpiring!$A$2:$C$100, 2, FALSE), "")</f>
        <v/>
      </c>
      <c r="G2" s="6" t="str">
        <f>'CUMHC Kit'!E2</f>
        <v/>
      </c>
      <c r="H2" s="6" t="str">
        <f>IFERROR(VLOOKUP(A2, 'Saxon Order'!$A$2:$C$100, 2, FALSE), "")</f>
        <v/>
      </c>
      <c r="I2" s="6" t="str">
        <f>IFERROR(VLOOKUP(A2, 'Y1 order'!$A$2:$D$100, 2, FALSE), "")</f>
        <v/>
      </c>
      <c r="J2" s="6"/>
      <c r="K2" s="30">
        <f t="shared" ref="K2:K19" si="1">SUM(B2:J2)</f>
        <v>16</v>
      </c>
      <c r="L2" s="6"/>
      <c r="M2" s="31"/>
      <c r="N2" s="32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28" t="s">
        <v>6</v>
      </c>
      <c r="B3" s="29">
        <f t="shared" ref="B3:B13" si="2">IF(ISNUMBER(MATCH(A3, $N$2:$N$99, 0)), "", 85)</f>
        <v>85</v>
      </c>
      <c r="C3" s="6">
        <f>'League fees'!G3</f>
        <v>32</v>
      </c>
      <c r="D3" s="6">
        <f>'BUCS fees'!E3</f>
        <v>0</v>
      </c>
      <c r="E3" s="29" t="str">
        <f>IFERROR(VLOOKUP(A3, Travel!$A$2:$B$99, 2, FALSE), "")</f>
        <v/>
      </c>
      <c r="F3" s="6" t="str">
        <f>IFERROR(VLOOKUP(A3, Umpiring!$A$2:$C$100, 2, FALSE), "")</f>
        <v/>
      </c>
      <c r="G3" s="33">
        <f>'CUMHC Kit'!E3</f>
        <v>87</v>
      </c>
      <c r="H3" s="6" t="str">
        <f>IFERROR(VLOOKUP(A3, 'Saxon Order'!$A$2:$C$100, 2, FALSE), "")</f>
        <v/>
      </c>
      <c r="I3" s="6" t="str">
        <f>IFERROR(VLOOKUP(A3, 'Y1 order'!$A$2:$D$100, 2, FALSE), "")</f>
        <v/>
      </c>
      <c r="J3" s="6"/>
      <c r="K3" s="30">
        <f t="shared" si="1"/>
        <v>204</v>
      </c>
      <c r="L3" s="6"/>
      <c r="M3" s="31"/>
      <c r="N3" s="34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28" t="s">
        <v>8</v>
      </c>
      <c r="B4" s="29" t="str">
        <f t="shared" si="2"/>
        <v/>
      </c>
      <c r="C4" s="6">
        <f>'League fees'!G4</f>
        <v>12</v>
      </c>
      <c r="D4" s="6">
        <f>'BUCS fees'!E4</f>
        <v>0</v>
      </c>
      <c r="E4" s="29" t="str">
        <f>IFERROR(VLOOKUP(A4, Travel!$A$2:$B$99, 2, FALSE), "")</f>
        <v/>
      </c>
      <c r="F4" s="6" t="str">
        <f>IFERROR(VLOOKUP(A4, Umpiring!$A$2:$C$100, 2, FALSE), "")</f>
        <v/>
      </c>
      <c r="G4" s="33">
        <f>'CUMHC Kit'!E4</f>
        <v>0</v>
      </c>
      <c r="H4" s="6" t="str">
        <f>IFERROR(VLOOKUP(A4, 'Saxon Order'!$A$2:$C$100, 2, FALSE), "")</f>
        <v/>
      </c>
      <c r="I4" s="6" t="str">
        <f>IFERROR(VLOOKUP(A4, 'Y1 order'!$A$2:$D$100, 2, FALSE), "")</f>
        <v/>
      </c>
      <c r="J4" s="6"/>
      <c r="K4" s="30">
        <f t="shared" si="1"/>
        <v>12</v>
      </c>
      <c r="L4" s="6"/>
      <c r="M4" s="31"/>
      <c r="N4" s="34" t="s">
        <v>16</v>
      </c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28" t="s">
        <v>11</v>
      </c>
      <c r="B5" s="29">
        <f t="shared" si="2"/>
        <v>85</v>
      </c>
      <c r="C5" s="6">
        <f>'League fees'!G5</f>
        <v>8</v>
      </c>
      <c r="D5" s="6">
        <f>'BUCS fees'!E5</f>
        <v>0</v>
      </c>
      <c r="E5" s="29" t="str">
        <f>IFERROR(VLOOKUP(A5, Travel!$A$2:$B$99, 2, FALSE), "")</f>
        <v/>
      </c>
      <c r="F5" s="6" t="str">
        <f>IFERROR(VLOOKUP(A5, Umpiring!$A$2:$C$100, 2, FALSE), "")</f>
        <v/>
      </c>
      <c r="G5" s="33">
        <f>'CUMHC Kit'!E5</f>
        <v>0</v>
      </c>
      <c r="H5" s="6" t="str">
        <f>IFERROR(VLOOKUP(A5, 'Saxon Order'!$A$2:$C$100, 2, FALSE), "")</f>
        <v/>
      </c>
      <c r="I5" s="6" t="str">
        <f>IFERROR(VLOOKUP(A5, 'Y1 order'!$A$2:$D$100, 2, FALSE), "")</f>
        <v/>
      </c>
      <c r="J5" s="10">
        <v>-85.0</v>
      </c>
      <c r="K5" s="30">
        <f t="shared" si="1"/>
        <v>8</v>
      </c>
      <c r="L5" s="10" t="s">
        <v>128</v>
      </c>
      <c r="M5" s="31"/>
      <c r="N5" s="34" t="s">
        <v>24</v>
      </c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28" t="s">
        <v>13</v>
      </c>
      <c r="B6" s="29" t="str">
        <f t="shared" si="2"/>
        <v/>
      </c>
      <c r="C6" s="6">
        <f>'League fees'!G6</f>
        <v>48</v>
      </c>
      <c r="D6" s="6">
        <f>'BUCS fees'!E6</f>
        <v>30</v>
      </c>
      <c r="E6" s="29" t="str">
        <f>IFERROR(VLOOKUP(A6, Travel!$A$2:$B$99, 2, FALSE), "")</f>
        <v/>
      </c>
      <c r="F6" s="6" t="str">
        <f>IFERROR(VLOOKUP(A6, Umpiring!$A$2:$C$100, 2, FALSE), "")</f>
        <v/>
      </c>
      <c r="G6" s="33">
        <f>'CUMHC Kit'!E6</f>
        <v>65</v>
      </c>
      <c r="H6" s="6" t="str">
        <f>IFERROR(VLOOKUP(A6, 'Saxon Order'!$A$2:$C$100, 2, FALSE), "")</f>
        <v/>
      </c>
      <c r="I6" s="6" t="str">
        <f>IFERROR(VLOOKUP(A6, 'Y1 order'!$A$2:$D$100, 2, FALSE), "")</f>
        <v/>
      </c>
      <c r="J6" s="6"/>
      <c r="K6" s="30">
        <f t="shared" si="1"/>
        <v>143</v>
      </c>
      <c r="L6" s="10"/>
      <c r="M6" s="31"/>
      <c r="N6" s="34" t="s">
        <v>27</v>
      </c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28" t="s">
        <v>16</v>
      </c>
      <c r="B7" s="29" t="str">
        <f t="shared" si="2"/>
        <v/>
      </c>
      <c r="C7" s="6">
        <f>'League fees'!G7</f>
        <v>28</v>
      </c>
      <c r="D7" s="6">
        <f>'BUCS fees'!E7</f>
        <v>24</v>
      </c>
      <c r="E7" s="29" t="str">
        <f>IFERROR(VLOOKUP(A7, Travel!$A$2:$B$99, 2, FALSE), "")</f>
        <v/>
      </c>
      <c r="F7" s="6" t="str">
        <f>IFERROR(VLOOKUP(A7, Umpiring!$A$2:$C$100, 2, FALSE), "")</f>
        <v/>
      </c>
      <c r="G7" s="33">
        <f>'CUMHC Kit'!E7</f>
        <v>65</v>
      </c>
      <c r="H7" s="6">
        <f>IFERROR(VLOOKUP(A7, 'Saxon Order'!$A$2:$C$100, 2, FALSE), "")</f>
        <v>56.2</v>
      </c>
      <c r="I7" s="6" t="str">
        <f>IFERROR(VLOOKUP(A7, 'Y1 order'!$A$2:$D$100, 2, FALSE), "")</f>
        <v/>
      </c>
      <c r="J7" s="6"/>
      <c r="K7" s="30">
        <f t="shared" si="1"/>
        <v>173.2</v>
      </c>
      <c r="L7" s="6"/>
      <c r="M7" s="31"/>
      <c r="N7" s="34" t="s">
        <v>29</v>
      </c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28" t="s">
        <v>19</v>
      </c>
      <c r="B8" s="29">
        <f t="shared" si="2"/>
        <v>85</v>
      </c>
      <c r="C8" s="6">
        <f>'League fees'!G8</f>
        <v>32</v>
      </c>
      <c r="D8" s="6">
        <f>'BUCS fees'!E8</f>
        <v>4</v>
      </c>
      <c r="E8" s="29" t="str">
        <f>IFERROR(VLOOKUP(A8, Travel!$A$2:$B$99, 2, FALSE), "")</f>
        <v/>
      </c>
      <c r="F8" s="6" t="str">
        <f>IFERROR(VLOOKUP(A8, Umpiring!$A$2:$C$100, 2, FALSE), "")</f>
        <v/>
      </c>
      <c r="G8" s="33">
        <f>'CUMHC Kit'!E8</f>
        <v>87</v>
      </c>
      <c r="H8" s="6">
        <f>IFERROR(VLOOKUP(A8, 'Saxon Order'!$A$2:$C$100, 2, FALSE), "")</f>
        <v>56.2</v>
      </c>
      <c r="I8" s="6">
        <f>IFERROR(VLOOKUP(A8, 'Y1 order'!$A$2:$D$100, 2, FALSE), "")</f>
        <v>37.99</v>
      </c>
      <c r="J8" s="6"/>
      <c r="K8" s="30">
        <f t="shared" si="1"/>
        <v>302.19</v>
      </c>
      <c r="L8" s="6"/>
      <c r="M8" s="31"/>
      <c r="N8" s="34" t="s">
        <v>39</v>
      </c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28" t="s">
        <v>22</v>
      </c>
      <c r="B9" s="29">
        <f t="shared" si="2"/>
        <v>85</v>
      </c>
      <c r="C9" s="6">
        <f>'League fees'!G9</f>
        <v>52</v>
      </c>
      <c r="D9" s="6">
        <f>'BUCS fees'!E9</f>
        <v>4</v>
      </c>
      <c r="E9" s="29" t="str">
        <f>IFERROR(VLOOKUP(A9, Travel!$A$2:$B$99, 2, FALSE), "")</f>
        <v/>
      </c>
      <c r="F9" s="6" t="str">
        <f>IFERROR(VLOOKUP(A9, Umpiring!$A$2:$C$100, 2, FALSE), "")</f>
        <v/>
      </c>
      <c r="G9" s="33">
        <f>'CUMHC Kit'!E9</f>
        <v>87</v>
      </c>
      <c r="H9" s="6">
        <f>IFERROR(VLOOKUP(A9, 'Saxon Order'!$A$2:$C$100, 2, FALSE), "")</f>
        <v>56.2</v>
      </c>
      <c r="I9" s="6" t="str">
        <f>IFERROR(VLOOKUP(A9, 'Y1 order'!$A$2:$D$100, 2, FALSE), "")</f>
        <v/>
      </c>
      <c r="J9" s="6"/>
      <c r="K9" s="30">
        <f t="shared" si="1"/>
        <v>284.2</v>
      </c>
      <c r="L9" s="6"/>
      <c r="M9" s="31"/>
      <c r="N9" s="35" t="s">
        <v>40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28" t="s">
        <v>24</v>
      </c>
      <c r="B10" s="29" t="str">
        <f t="shared" si="2"/>
        <v/>
      </c>
      <c r="C10" s="6">
        <f>'League fees'!G10</f>
        <v>40</v>
      </c>
      <c r="D10" s="6">
        <f>'BUCS fees'!E10</f>
        <v>20</v>
      </c>
      <c r="E10" s="29" t="str">
        <f>IFERROR(VLOOKUP(A10, Travel!$A$2:$B$99, 2, FALSE), "")</f>
        <v/>
      </c>
      <c r="F10" s="6" t="str">
        <f>IFERROR(VLOOKUP(A10, Umpiring!$A$2:$C$100, 2, FALSE), "")</f>
        <v/>
      </c>
      <c r="G10" s="33">
        <f>'CUMHC Kit'!E10</f>
        <v>32.5</v>
      </c>
      <c r="H10" s="6" t="str">
        <f>IFERROR(VLOOKUP(A10, 'Saxon Order'!$A$2:$C$100, 2, FALSE), "")</f>
        <v/>
      </c>
      <c r="I10" s="6" t="str">
        <f>IFERROR(VLOOKUP(A10, 'Y1 order'!$A$2:$D$100, 2, FALSE), "")</f>
        <v/>
      </c>
      <c r="J10" s="6"/>
      <c r="K10" s="30">
        <f t="shared" si="1"/>
        <v>92.5</v>
      </c>
      <c r="L10" s="6"/>
      <c r="M10" s="31"/>
      <c r="N10" s="34" t="s">
        <v>42</v>
      </c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28" t="s">
        <v>25</v>
      </c>
      <c r="B11" s="29">
        <f t="shared" si="2"/>
        <v>85</v>
      </c>
      <c r="C11" s="6">
        <f>'League fees'!G11</f>
        <v>16</v>
      </c>
      <c r="D11" s="6">
        <f>'BUCS fees'!E11</f>
        <v>0</v>
      </c>
      <c r="E11" s="29" t="str">
        <f>IFERROR(VLOOKUP(A11, Travel!$A$2:$B$99, 2, FALSE), "")</f>
        <v/>
      </c>
      <c r="F11" s="6" t="str">
        <f>IFERROR(VLOOKUP(A11, Umpiring!$A$2:$C$100, 2, FALSE), "")</f>
        <v/>
      </c>
      <c r="G11" s="33">
        <f>'CUMHC Kit'!E11</f>
        <v>0</v>
      </c>
      <c r="H11" s="6" t="str">
        <f>IFERROR(VLOOKUP(A11, 'Saxon Order'!$A$2:$C$100, 2, FALSE), "")</f>
        <v/>
      </c>
      <c r="I11" s="6" t="str">
        <f>IFERROR(VLOOKUP(A11, 'Y1 order'!$A$2:$D$100, 2, FALSE), "")</f>
        <v/>
      </c>
      <c r="J11" s="6"/>
      <c r="K11" s="30">
        <f t="shared" si="1"/>
        <v>101</v>
      </c>
      <c r="L11" s="6"/>
      <c r="M11" s="31"/>
      <c r="N11" s="34" t="s">
        <v>48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28" t="s">
        <v>27</v>
      </c>
      <c r="B12" s="29" t="str">
        <f t="shared" si="2"/>
        <v/>
      </c>
      <c r="C12" s="6">
        <f>'League fees'!G12</f>
        <v>48</v>
      </c>
      <c r="D12" s="6">
        <f>'BUCS fees'!E12</f>
        <v>0</v>
      </c>
      <c r="E12" s="29" t="str">
        <f>IFERROR(VLOOKUP(A12, Travel!$A$2:$B$99, 2, FALSE), "")</f>
        <v/>
      </c>
      <c r="F12" s="6" t="str">
        <f>IFERROR(VLOOKUP(A12, Umpiring!$A$2:$C$100, 2, FALSE), "")</f>
        <v/>
      </c>
      <c r="G12" s="33">
        <f>'CUMHC Kit'!E12</f>
        <v>32.5</v>
      </c>
      <c r="H12" s="6" t="str">
        <f>IFERROR(VLOOKUP(A12, 'Saxon Order'!$A$2:$C$100, 2, FALSE), "")</f>
        <v/>
      </c>
      <c r="I12" s="6" t="str">
        <f>IFERROR(VLOOKUP(A12, 'Y1 order'!$A$2:$D$100, 2, FALSE), "")</f>
        <v/>
      </c>
      <c r="J12" s="6"/>
      <c r="K12" s="30">
        <f t="shared" si="1"/>
        <v>80.5</v>
      </c>
      <c r="L12" s="6"/>
      <c r="M12" s="31"/>
      <c r="N12" s="34" t="s">
        <v>49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28" t="s">
        <v>29</v>
      </c>
      <c r="B13" s="29" t="str">
        <f t="shared" si="2"/>
        <v/>
      </c>
      <c r="C13" s="6">
        <f>'League fees'!G13</f>
        <v>20</v>
      </c>
      <c r="D13" s="6">
        <f>'BUCS fees'!E13</f>
        <v>16</v>
      </c>
      <c r="E13" s="29" t="str">
        <f>IFERROR(VLOOKUP(A13, Travel!$A$2:$B$99, 2, FALSE), "")</f>
        <v/>
      </c>
      <c r="F13" s="6" t="str">
        <f>IFERROR(VLOOKUP(A13, Umpiring!$A$2:$C$100, 2, FALSE), "")</f>
        <v/>
      </c>
      <c r="G13" s="33">
        <f>'CUMHC Kit'!E13</f>
        <v>32.5</v>
      </c>
      <c r="H13" s="6" t="str">
        <f>IFERROR(VLOOKUP(A13, 'Saxon Order'!$A$2:$C$100, 2, FALSE), "")</f>
        <v/>
      </c>
      <c r="I13" s="6" t="str">
        <f>IFERROR(VLOOKUP(A13, 'Y1 order'!$A$2:$D$100, 2, FALSE), "")</f>
        <v/>
      </c>
      <c r="J13" s="6"/>
      <c r="K13" s="30">
        <f t="shared" si="1"/>
        <v>68.5</v>
      </c>
      <c r="L13" s="6"/>
      <c r="M13" s="31"/>
      <c r="N13" s="34" t="s">
        <v>51</v>
      </c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28" t="s">
        <v>31</v>
      </c>
      <c r="B14" s="29"/>
      <c r="C14" s="6">
        <f>'League fees'!G14</f>
        <v>0</v>
      </c>
      <c r="D14" s="6">
        <f>'BUCS fees'!E14</f>
        <v>10</v>
      </c>
      <c r="E14" s="29" t="str">
        <f>IFERROR(VLOOKUP(A14, Travel!$A$2:$B$99, 2, FALSE), "")</f>
        <v/>
      </c>
      <c r="F14" s="6" t="str">
        <f>IFERROR(VLOOKUP(A14, Umpiring!$A$2:$C$100, 2, FALSE), "")</f>
        <v/>
      </c>
      <c r="G14" s="33">
        <f>'CUMHC Kit'!E14</f>
        <v>0</v>
      </c>
      <c r="H14" s="6" t="str">
        <f>IFERROR(VLOOKUP(A14, 'Saxon Order'!$A$2:$C$100, 2, FALSE), "")</f>
        <v/>
      </c>
      <c r="I14" s="6" t="str">
        <f>IFERROR(VLOOKUP(A14, 'Y1 order'!$A$2:$D$100, 2, FALSE), "")</f>
        <v/>
      </c>
      <c r="J14" s="6"/>
      <c r="K14" s="30">
        <f t="shared" si="1"/>
        <v>10</v>
      </c>
      <c r="L14" s="6"/>
      <c r="M14" s="31"/>
      <c r="N14" s="34" t="s">
        <v>54</v>
      </c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28" t="s">
        <v>33</v>
      </c>
      <c r="B15" s="29">
        <f t="shared" ref="B15:B25" si="3">IF(ISNUMBER(MATCH(A15, $N$2:$N$99, 0)), "", 85)</f>
        <v>85</v>
      </c>
      <c r="C15" s="6">
        <f>'League fees'!G15</f>
        <v>32</v>
      </c>
      <c r="D15" s="6">
        <f>'BUCS fees'!E15</f>
        <v>0</v>
      </c>
      <c r="E15" s="29" t="str">
        <f>IFERROR(VLOOKUP(A15, Travel!$A$2:$B$99, 2, FALSE), "")</f>
        <v/>
      </c>
      <c r="F15" s="6" t="str">
        <f>IFERROR(VLOOKUP(A15, Umpiring!$A$2:$C$100, 2, FALSE), "")</f>
        <v/>
      </c>
      <c r="G15" s="33">
        <f>'CUMHC Kit'!E15</f>
        <v>87</v>
      </c>
      <c r="H15" s="6" t="str">
        <f>IFERROR(VLOOKUP(A15, 'Saxon Order'!$A$2:$C$100, 2, FALSE), "")</f>
        <v/>
      </c>
      <c r="I15" s="6" t="str">
        <f>IFERROR(VLOOKUP(A15, 'Y1 order'!$A$2:$D$100, 2, FALSE), "")</f>
        <v/>
      </c>
      <c r="J15" s="6"/>
      <c r="K15" s="30">
        <f t="shared" si="1"/>
        <v>204</v>
      </c>
      <c r="L15" s="6"/>
      <c r="M15" s="31"/>
      <c r="N15" s="35" t="s">
        <v>55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28" t="s">
        <v>35</v>
      </c>
      <c r="B16" s="29">
        <f t="shared" si="3"/>
        <v>85</v>
      </c>
      <c r="C16" s="6">
        <f>'League fees'!G16</f>
        <v>20</v>
      </c>
      <c r="D16" s="6">
        <f>'BUCS fees'!E16</f>
        <v>0</v>
      </c>
      <c r="E16" s="29" t="str">
        <f>IFERROR(VLOOKUP(A16, Travel!$A$2:$B$99, 2, FALSE), "")</f>
        <v/>
      </c>
      <c r="F16" s="6" t="str">
        <f>IFERROR(VLOOKUP(A16, Umpiring!$A$2:$C$100, 2, FALSE), "")</f>
        <v/>
      </c>
      <c r="G16" s="33">
        <f>'CUMHC Kit'!E16</f>
        <v>87</v>
      </c>
      <c r="H16" s="6" t="str">
        <f>IFERROR(VLOOKUP(A16, 'Saxon Order'!$A$2:$C$100, 2, FALSE), "")</f>
        <v/>
      </c>
      <c r="I16" s="6" t="str">
        <f>IFERROR(VLOOKUP(A16, 'Y1 order'!$A$2:$D$100, 2, FALSE), "")</f>
        <v/>
      </c>
      <c r="J16" s="6"/>
      <c r="K16" s="30">
        <f t="shared" si="1"/>
        <v>192</v>
      </c>
      <c r="L16" s="6"/>
      <c r="M16" s="31"/>
      <c r="N16" s="34" t="s">
        <v>129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28" t="s">
        <v>37</v>
      </c>
      <c r="B17" s="29">
        <f t="shared" si="3"/>
        <v>85</v>
      </c>
      <c r="C17" s="6">
        <f>'League fees'!G17</f>
        <v>48</v>
      </c>
      <c r="D17" s="6">
        <f>'BUCS fees'!E17</f>
        <v>30</v>
      </c>
      <c r="E17" s="29" t="str">
        <f>IFERROR(VLOOKUP(A17, Travel!$A$2:$B$99, 2, FALSE), "")</f>
        <v/>
      </c>
      <c r="F17" s="6" t="str">
        <f>IFERROR(VLOOKUP(A17, Umpiring!$A$2:$C$100, 2, FALSE), "")</f>
        <v/>
      </c>
      <c r="G17" s="33">
        <f>'CUMHC Kit'!E17</f>
        <v>87</v>
      </c>
      <c r="H17" s="6">
        <f>IFERROR(VLOOKUP(A17, 'Saxon Order'!$A$2:$C$100, 2, FALSE), "")</f>
        <v>56.2</v>
      </c>
      <c r="I17" s="6" t="str">
        <f>IFERROR(VLOOKUP(A17, 'Y1 order'!$A$2:$D$100, 2, FALSE), "")</f>
        <v/>
      </c>
      <c r="J17" s="6"/>
      <c r="K17" s="30">
        <f t="shared" si="1"/>
        <v>306.2</v>
      </c>
      <c r="L17" s="6"/>
      <c r="M17" s="31"/>
      <c r="N17" s="34" t="s">
        <v>60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28" t="s">
        <v>39</v>
      </c>
      <c r="B18" s="29" t="str">
        <f t="shared" si="3"/>
        <v/>
      </c>
      <c r="C18" s="6">
        <f>'League fees'!G18</f>
        <v>40</v>
      </c>
      <c r="D18" s="6">
        <f>'BUCS fees'!E18</f>
        <v>20</v>
      </c>
      <c r="E18" s="29" t="str">
        <f>IFERROR(VLOOKUP(A18, Travel!$A$2:$B$99, 2, FALSE), "")</f>
        <v/>
      </c>
      <c r="F18" s="6" t="str">
        <f>IFERROR(VLOOKUP(A18, Umpiring!$A$2:$C$100, 2, FALSE), "")</f>
        <v/>
      </c>
      <c r="G18" s="33">
        <f>'CUMHC Kit'!E18</f>
        <v>32.5</v>
      </c>
      <c r="H18" s="6" t="str">
        <f>IFERROR(VLOOKUP(A18, 'Saxon Order'!$A$2:$C$100, 2, FALSE), "")</f>
        <v/>
      </c>
      <c r="I18" s="6" t="str">
        <f>IFERROR(VLOOKUP(A18, 'Y1 order'!$A$2:$D$100, 2, FALSE), "")</f>
        <v/>
      </c>
      <c r="J18" s="6"/>
      <c r="K18" s="30">
        <f t="shared" si="1"/>
        <v>92.5</v>
      </c>
      <c r="L18" s="6"/>
      <c r="M18" s="31"/>
      <c r="N18" s="34" t="s">
        <v>61</v>
      </c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28" t="s">
        <v>40</v>
      </c>
      <c r="B19" s="29" t="str">
        <f t="shared" si="3"/>
        <v/>
      </c>
      <c r="C19" s="6">
        <f>'League fees'!G19</f>
        <v>44</v>
      </c>
      <c r="D19" s="6">
        <f>'BUCS fees'!E19</f>
        <v>0</v>
      </c>
      <c r="E19" s="29" t="str">
        <f>IFERROR(VLOOKUP(A19, Travel!$A$2:$B$99, 2, FALSE), "")</f>
        <v/>
      </c>
      <c r="F19" s="6" t="str">
        <f>IFERROR(VLOOKUP(A19, Umpiring!$A$2:$C$100, 2, FALSE), "")</f>
        <v/>
      </c>
      <c r="G19" s="33">
        <f>'CUMHC Kit'!E19</f>
        <v>32.5</v>
      </c>
      <c r="H19" s="6" t="str">
        <f>IFERROR(VLOOKUP(A19, 'Saxon Order'!$A$2:$C$100, 2, FALSE), "")</f>
        <v/>
      </c>
      <c r="I19" s="6" t="str">
        <f>IFERROR(VLOOKUP(A19, 'Y1 order'!$A$2:$D$100, 2, FALSE), "")</f>
        <v/>
      </c>
      <c r="J19" s="6"/>
      <c r="K19" s="30">
        <f t="shared" si="1"/>
        <v>76.5</v>
      </c>
      <c r="L19" s="6"/>
      <c r="M19" s="31"/>
      <c r="N19" s="34" t="s">
        <v>62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28" t="s">
        <v>41</v>
      </c>
      <c r="B20" s="29">
        <f t="shared" si="3"/>
        <v>85</v>
      </c>
      <c r="C20" s="6">
        <f>'League fees'!G20</f>
        <v>24</v>
      </c>
      <c r="D20" s="6">
        <f>'BUCS fees'!E20</f>
        <v>16</v>
      </c>
      <c r="E20" s="10">
        <v>-31.08</v>
      </c>
      <c r="F20" s="6" t="str">
        <f>IFERROR(VLOOKUP(A20, Umpiring!$A$2:$C$100, 2, FALSE), "")</f>
        <v/>
      </c>
      <c r="G20" s="33">
        <f>'CUMHC Kit'!E20</f>
        <v>0</v>
      </c>
      <c r="H20" s="6" t="str">
        <f>IFERROR(VLOOKUP(A20, 'Saxon Order'!$A$2:$C$100, 2, FALSE), "")</f>
        <v/>
      </c>
      <c r="I20" s="6" t="str">
        <f>IFERROR(VLOOKUP(A20, 'Y1 order'!$A$2:$D$100, 2, FALSE), "")</f>
        <v/>
      </c>
      <c r="K20" s="30">
        <f>SUM(B20:I20)</f>
        <v>93.92</v>
      </c>
      <c r="L20" s="10" t="s">
        <v>130</v>
      </c>
      <c r="M20" s="31"/>
      <c r="N20" s="34" t="s">
        <v>63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28" t="s">
        <v>42</v>
      </c>
      <c r="B21" s="29" t="str">
        <f t="shared" si="3"/>
        <v/>
      </c>
      <c r="C21" s="6">
        <f>'League fees'!G21</f>
        <v>44</v>
      </c>
      <c r="D21" s="6">
        <f>'BUCS fees'!E21</f>
        <v>29</v>
      </c>
      <c r="E21" s="29" t="str">
        <f>IFERROR(VLOOKUP(A21, Travel!$A$2:$B$99, 2, FALSE), "")</f>
        <v/>
      </c>
      <c r="F21" s="6">
        <f>IFERROR(VLOOKUP(A21, Umpiring!$A$2:$C$100, 2, FALSE), "")</f>
        <v>-60</v>
      </c>
      <c r="G21" s="33">
        <f>'CUMHC Kit'!E21</f>
        <v>65</v>
      </c>
      <c r="H21" s="6" t="str">
        <f>IFERROR(VLOOKUP(A21, 'Saxon Order'!$A$2:$C$100, 2, FALSE), "")</f>
        <v/>
      </c>
      <c r="I21" s="6" t="str">
        <f>IFERROR(VLOOKUP(A21, 'Y1 order'!$A$2:$D$100, 2, FALSE), "")</f>
        <v/>
      </c>
      <c r="J21" s="6"/>
      <c r="K21" s="30">
        <f t="shared" ref="K21:K86" si="4">SUM(B21:J21)</f>
        <v>78</v>
      </c>
      <c r="L21" s="6"/>
      <c r="M21" s="31"/>
      <c r="N21" s="34" t="s">
        <v>64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28" t="s">
        <v>43</v>
      </c>
      <c r="B22" s="29">
        <f t="shared" si="3"/>
        <v>85</v>
      </c>
      <c r="C22" s="6">
        <f>'League fees'!G22</f>
        <v>20</v>
      </c>
      <c r="D22" s="6">
        <f>'BUCS fees'!E22</f>
        <v>0</v>
      </c>
      <c r="E22" s="29" t="str">
        <f>IFERROR(VLOOKUP(A22, Travel!$A$2:$B$99, 2, FALSE), "")</f>
        <v/>
      </c>
      <c r="F22" s="6" t="str">
        <f>IFERROR(VLOOKUP(A22, Umpiring!$A$2:$C$100, 2, FALSE), "")</f>
        <v/>
      </c>
      <c r="G22" s="33">
        <f>'CUMHC Kit'!E22</f>
        <v>87</v>
      </c>
      <c r="H22" s="6" t="str">
        <f>IFERROR(VLOOKUP(A22, 'Saxon Order'!$A$2:$C$100, 2, FALSE), "")</f>
        <v/>
      </c>
      <c r="I22" s="6" t="str">
        <f>IFERROR(VLOOKUP(A22, 'Y1 order'!$A$2:$D$100, 2, FALSE), "")</f>
        <v/>
      </c>
      <c r="J22" s="6"/>
      <c r="K22" s="30">
        <f t="shared" si="4"/>
        <v>192</v>
      </c>
      <c r="L22" s="6"/>
      <c r="M22" s="31"/>
      <c r="N22" s="34" t="s">
        <v>68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28" t="s">
        <v>44</v>
      </c>
      <c r="B23" s="29">
        <f t="shared" si="3"/>
        <v>85</v>
      </c>
      <c r="C23" s="6">
        <f>'League fees'!G23</f>
        <v>36</v>
      </c>
      <c r="D23" s="6">
        <f>'BUCS fees'!E23</f>
        <v>0</v>
      </c>
      <c r="E23" s="29" t="str">
        <f>IFERROR(VLOOKUP(A23, Travel!$A$2:$B$99, 2, FALSE), "")</f>
        <v/>
      </c>
      <c r="F23" s="6" t="str">
        <f>IFERROR(VLOOKUP(A23, Umpiring!$A$2:$C$100, 2, FALSE), "")</f>
        <v/>
      </c>
      <c r="G23" s="33">
        <f>'CUMHC Kit'!E23</f>
        <v>87</v>
      </c>
      <c r="H23" s="6">
        <f>IFERROR(VLOOKUP(A23, 'Saxon Order'!$A$2:$C$100, 2, FALSE), "")</f>
        <v>56.2</v>
      </c>
      <c r="I23" s="6" t="str">
        <f>IFERROR(VLOOKUP(A23, 'Y1 order'!$A$2:$D$100, 2, FALSE), "")</f>
        <v/>
      </c>
      <c r="J23" s="6"/>
      <c r="K23" s="30">
        <f t="shared" si="4"/>
        <v>264.2</v>
      </c>
      <c r="L23" s="6"/>
      <c r="M23" s="31"/>
      <c r="N23" s="35" t="s">
        <v>69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28" t="s">
        <v>45</v>
      </c>
      <c r="B24" s="29">
        <f t="shared" si="3"/>
        <v>85</v>
      </c>
      <c r="C24" s="6">
        <f>'League fees'!G24</f>
        <v>36</v>
      </c>
      <c r="D24" s="6">
        <f>'BUCS fees'!E24</f>
        <v>0</v>
      </c>
      <c r="E24" s="29" t="str">
        <f>IFERROR(VLOOKUP(A24, Travel!$A$2:$B$99, 2, FALSE), "")</f>
        <v/>
      </c>
      <c r="F24" s="6" t="str">
        <f>IFERROR(VLOOKUP(A24, Umpiring!$A$2:$C$100, 2, FALSE), "")</f>
        <v/>
      </c>
      <c r="G24" s="33">
        <f>'CUMHC Kit'!E24</f>
        <v>0</v>
      </c>
      <c r="H24" s="6" t="str">
        <f>IFERROR(VLOOKUP(A24, 'Saxon Order'!$A$2:$C$100, 2, FALSE), "")</f>
        <v/>
      </c>
      <c r="I24" s="6" t="str">
        <f>IFERROR(VLOOKUP(A24, 'Y1 order'!$A$2:$D$100, 2, FALSE), "")</f>
        <v/>
      </c>
      <c r="J24" s="10">
        <v>1.0</v>
      </c>
      <c r="K24" s="30">
        <f t="shared" si="4"/>
        <v>122</v>
      </c>
      <c r="L24" s="10" t="s">
        <v>131</v>
      </c>
      <c r="M24" s="31"/>
      <c r="N24" s="34" t="s">
        <v>70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28" t="s">
        <v>46</v>
      </c>
      <c r="B25" s="29">
        <f t="shared" si="3"/>
        <v>85</v>
      </c>
      <c r="C25" s="6">
        <f>'League fees'!G25</f>
        <v>40</v>
      </c>
      <c r="D25" s="6">
        <f>'BUCS fees'!E25</f>
        <v>28</v>
      </c>
      <c r="E25" s="29" t="str">
        <f>IFERROR(VLOOKUP(A25, Travel!$A$2:$B$99, 2, FALSE), "")</f>
        <v/>
      </c>
      <c r="F25" s="6" t="str">
        <f>IFERROR(VLOOKUP(A25, Umpiring!$A$2:$C$100, 2, FALSE), "")</f>
        <v/>
      </c>
      <c r="G25" s="33">
        <f>'CUMHC Kit'!E25</f>
        <v>87</v>
      </c>
      <c r="H25" s="6" t="str">
        <f>IFERROR(VLOOKUP(A25, 'Saxon Order'!$A$2:$C$100, 2, FALSE), "")</f>
        <v/>
      </c>
      <c r="I25" s="6" t="str">
        <f>IFERROR(VLOOKUP(A25, 'Y1 order'!$A$2:$D$100, 2, FALSE), "")</f>
        <v/>
      </c>
      <c r="J25" s="6"/>
      <c r="K25" s="30">
        <f t="shared" si="4"/>
        <v>240</v>
      </c>
      <c r="L25" s="6"/>
      <c r="M25" s="31"/>
      <c r="N25" s="34" t="s">
        <v>72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28" t="s">
        <v>47</v>
      </c>
      <c r="B26" s="29"/>
      <c r="C26" s="6">
        <f>'League fees'!G26</f>
        <v>4</v>
      </c>
      <c r="D26" s="6">
        <f>'BUCS fees'!E26</f>
        <v>0</v>
      </c>
      <c r="E26" s="29" t="str">
        <f>IFERROR(VLOOKUP(A26, Travel!$A$2:$B$99, 2, FALSE), "")</f>
        <v/>
      </c>
      <c r="F26" s="6" t="str">
        <f>IFERROR(VLOOKUP(A26, Umpiring!$A$2:$C$100, 2, FALSE), "")</f>
        <v/>
      </c>
      <c r="G26" s="33">
        <f>'CUMHC Kit'!E26</f>
        <v>0</v>
      </c>
      <c r="H26" s="6" t="str">
        <f>IFERROR(VLOOKUP(A26, 'Saxon Order'!$A$2:$C$100, 2, FALSE), "")</f>
        <v/>
      </c>
      <c r="I26" s="6" t="str">
        <f>IFERROR(VLOOKUP(A26, 'Y1 order'!$A$2:$D$100, 2, FALSE), "")</f>
        <v/>
      </c>
      <c r="J26" s="10">
        <v>-4.0</v>
      </c>
      <c r="K26" s="30">
        <f t="shared" si="4"/>
        <v>0</v>
      </c>
      <c r="L26" s="10" t="s">
        <v>132</v>
      </c>
      <c r="M26" s="31"/>
      <c r="N26" s="35" t="s">
        <v>71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28" t="s">
        <v>48</v>
      </c>
      <c r="B27" s="29" t="str">
        <f t="shared" ref="B27:B50" si="5">IF(ISNUMBER(MATCH(A27, $N$2:$N$99, 0)), "", 85)</f>
        <v/>
      </c>
      <c r="C27" s="6">
        <f>'League fees'!G27</f>
        <v>44</v>
      </c>
      <c r="D27" s="6">
        <f>'BUCS fees'!E27</f>
        <v>24</v>
      </c>
      <c r="E27" s="29" t="str">
        <f>IFERROR(VLOOKUP(A27, Travel!$A$2:$B$99, 2, FALSE), "")</f>
        <v/>
      </c>
      <c r="F27" s="6" t="str">
        <f>IFERROR(VLOOKUP(A27, Umpiring!$A$2:$C$100, 2, FALSE), "")</f>
        <v/>
      </c>
      <c r="G27" s="33">
        <f>'CUMHC Kit'!E27</f>
        <v>32.5</v>
      </c>
      <c r="H27" s="6">
        <f>IFERROR(VLOOKUP(A27, 'Saxon Order'!$A$2:$C$100, 2, FALSE), "")</f>
        <v>56.2</v>
      </c>
      <c r="I27" s="6" t="str">
        <f>IFERROR(VLOOKUP(A27, 'Y1 order'!$A$2:$D$100, 2, FALSE), "")</f>
        <v/>
      </c>
      <c r="J27" s="6"/>
      <c r="K27" s="30">
        <f t="shared" si="4"/>
        <v>156.7</v>
      </c>
      <c r="L27" s="6"/>
      <c r="M27" s="31"/>
      <c r="N27" s="34" t="s">
        <v>73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28" t="s">
        <v>49</v>
      </c>
      <c r="B28" s="29" t="str">
        <f t="shared" si="5"/>
        <v/>
      </c>
      <c r="C28" s="6">
        <f>'League fees'!G28</f>
        <v>28</v>
      </c>
      <c r="D28" s="6">
        <f>'BUCS fees'!E28</f>
        <v>25</v>
      </c>
      <c r="E28" s="29">
        <f>IFERROR(VLOOKUP(A28, Travel!$A$2:$B$99, 2, FALSE), "")</f>
        <v>-90.6</v>
      </c>
      <c r="F28" s="6" t="str">
        <f>IFERROR(VLOOKUP(A28, Umpiring!$A$2:$C$100, 2, FALSE), "")</f>
        <v/>
      </c>
      <c r="G28" s="33">
        <f>'CUMHC Kit'!E28</f>
        <v>32.5</v>
      </c>
      <c r="H28" s="6" t="str">
        <f>IFERROR(VLOOKUP(A28, 'Saxon Order'!$A$2:$C$100, 2, FALSE), "")</f>
        <v/>
      </c>
      <c r="I28" s="6" t="str">
        <f>IFERROR(VLOOKUP(A28, 'Y1 order'!$A$2:$D$100, 2, FALSE), "")</f>
        <v/>
      </c>
      <c r="J28" s="6"/>
      <c r="K28" s="30">
        <f t="shared" si="4"/>
        <v>-5.1</v>
      </c>
      <c r="L28" s="6"/>
      <c r="M28" s="31"/>
      <c r="N28" s="34" t="s">
        <v>77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28" t="s">
        <v>51</v>
      </c>
      <c r="B29" s="29" t="str">
        <f t="shared" si="5"/>
        <v/>
      </c>
      <c r="C29" s="6">
        <f>'League fees'!G29</f>
        <v>48</v>
      </c>
      <c r="D29" s="6">
        <f>'BUCS fees'!E29</f>
        <v>8</v>
      </c>
      <c r="E29" s="29" t="str">
        <f>IFERROR(VLOOKUP(A29, Travel!$A$2:$B$99, 2, FALSE), "")</f>
        <v/>
      </c>
      <c r="F29" s="6" t="str">
        <f>IFERROR(VLOOKUP(A29, Umpiring!$A$2:$C$100, 2, FALSE), "")</f>
        <v/>
      </c>
      <c r="G29" s="33">
        <f>'CUMHC Kit'!E29</f>
        <v>32.5</v>
      </c>
      <c r="H29" s="6" t="str">
        <f>IFERROR(VLOOKUP(A29, 'Saxon Order'!$A$2:$C$100, 2, FALSE), "")</f>
        <v/>
      </c>
      <c r="I29" s="6" t="str">
        <f>IFERROR(VLOOKUP(A29, 'Y1 order'!$A$2:$D$100, 2, FALSE), "")</f>
        <v/>
      </c>
      <c r="J29" s="6"/>
      <c r="K29" s="30">
        <f t="shared" si="4"/>
        <v>88.5</v>
      </c>
      <c r="L29" s="6"/>
      <c r="M29" s="31"/>
      <c r="N29" s="34" t="s">
        <v>78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28" t="s">
        <v>52</v>
      </c>
      <c r="B30" s="29">
        <f t="shared" si="5"/>
        <v>85</v>
      </c>
      <c r="C30" s="6">
        <f>'League fees'!G30</f>
        <v>44</v>
      </c>
      <c r="D30" s="6">
        <f>'BUCS fees'!E30</f>
        <v>0</v>
      </c>
      <c r="E30" s="29" t="str">
        <f>IFERROR(VLOOKUP(A30, Travel!$A$2:$B$99, 2, FALSE), "")</f>
        <v/>
      </c>
      <c r="F30" s="6" t="str">
        <f>IFERROR(VLOOKUP(A30, Umpiring!$A$2:$C$100, 2, FALSE), "")</f>
        <v/>
      </c>
      <c r="G30" s="33">
        <f>'CUMHC Kit'!E30</f>
        <v>87</v>
      </c>
      <c r="H30" s="6" t="str">
        <f>IFERROR(VLOOKUP(A30, 'Saxon Order'!$A$2:$C$100, 2, FALSE), "")</f>
        <v/>
      </c>
      <c r="I30" s="6" t="str">
        <f>IFERROR(VLOOKUP(A30, 'Y1 order'!$A$2:$D$100, 2, FALSE), "")</f>
        <v/>
      </c>
      <c r="J30" s="6"/>
      <c r="K30" s="30">
        <f t="shared" si="4"/>
        <v>216</v>
      </c>
      <c r="L30" s="6"/>
      <c r="M30" s="31"/>
      <c r="N30" s="35" t="s">
        <v>81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28" t="s">
        <v>53</v>
      </c>
      <c r="B31" s="29">
        <f t="shared" si="5"/>
        <v>85</v>
      </c>
      <c r="C31" s="6">
        <f>'League fees'!G31</f>
        <v>36</v>
      </c>
      <c r="D31" s="6">
        <f>'BUCS fees'!E31</f>
        <v>0</v>
      </c>
      <c r="E31" s="29" t="str">
        <f>IFERROR(VLOOKUP(A31, Travel!$A$2:$B$99, 2, FALSE), "")</f>
        <v/>
      </c>
      <c r="F31" s="6" t="str">
        <f>IFERROR(VLOOKUP(A31, Umpiring!$A$2:$C$100, 2, FALSE), "")</f>
        <v/>
      </c>
      <c r="G31" s="33">
        <f>'CUMHC Kit'!E31</f>
        <v>87</v>
      </c>
      <c r="H31" s="6" t="str">
        <f>IFERROR(VLOOKUP(A31, 'Saxon Order'!$A$2:$C$100, 2, FALSE), "")</f>
        <v/>
      </c>
      <c r="I31" s="6" t="str">
        <f>IFERROR(VLOOKUP(A31, 'Y1 order'!$A$2:$D$100, 2, FALSE), "")</f>
        <v/>
      </c>
      <c r="J31" s="6"/>
      <c r="K31" s="30">
        <f t="shared" si="4"/>
        <v>208</v>
      </c>
      <c r="L31" s="6"/>
      <c r="M31" s="31"/>
      <c r="N31" s="34" t="s">
        <v>133</v>
      </c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28" t="s">
        <v>54</v>
      </c>
      <c r="B32" s="29" t="str">
        <f t="shared" si="5"/>
        <v/>
      </c>
      <c r="C32" s="6">
        <f>'League fees'!G32</f>
        <v>44</v>
      </c>
      <c r="D32" s="6">
        <f>'BUCS fees'!E32</f>
        <v>20</v>
      </c>
      <c r="E32" s="29">
        <f>IFERROR(VLOOKUP(A32, Travel!$A$2:$B$99, 2, FALSE), "")</f>
        <v>-73.6</v>
      </c>
      <c r="F32" s="6" t="str">
        <f>IFERROR(VLOOKUP(A32, Umpiring!$A$2:$C$100, 2, FALSE), "")</f>
        <v/>
      </c>
      <c r="G32" s="33">
        <f>'CUMHC Kit'!E32</f>
        <v>32.5</v>
      </c>
      <c r="H32" s="6" t="str">
        <f>IFERROR(VLOOKUP(A32, 'Saxon Order'!$A$2:$C$100, 2, FALSE), "")</f>
        <v/>
      </c>
      <c r="I32" s="6" t="str">
        <f>IFERROR(VLOOKUP(A32, 'Y1 order'!$A$2:$D$100, 2, FALSE), "")</f>
        <v/>
      </c>
      <c r="J32" s="6"/>
      <c r="K32" s="30">
        <f t="shared" si="4"/>
        <v>22.9</v>
      </c>
      <c r="L32" s="6"/>
      <c r="M32" s="31"/>
      <c r="N32" s="34" t="s">
        <v>87</v>
      </c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28" t="s">
        <v>55</v>
      </c>
      <c r="B33" s="29" t="str">
        <f t="shared" si="5"/>
        <v/>
      </c>
      <c r="C33" s="6">
        <f>'League fees'!G33</f>
        <v>48</v>
      </c>
      <c r="D33" s="6">
        <f>'BUCS fees'!E33</f>
        <v>24</v>
      </c>
      <c r="E33" s="29" t="str">
        <f>IFERROR(VLOOKUP(A33, Travel!$A$2:$B$99, 2, FALSE), "")</f>
        <v/>
      </c>
      <c r="F33" s="6" t="str">
        <f>IFERROR(VLOOKUP(A33, Umpiring!$A$2:$C$100, 2, FALSE), "")</f>
        <v/>
      </c>
      <c r="G33" s="33">
        <f>'CUMHC Kit'!E33</f>
        <v>32.5</v>
      </c>
      <c r="H33" s="6">
        <f>IFERROR(VLOOKUP(A33, 'Saxon Order'!$A$2:$C$100, 2, FALSE), "")</f>
        <v>56.2</v>
      </c>
      <c r="I33" s="6" t="str">
        <f>IFERROR(VLOOKUP(A33, 'Y1 order'!$A$2:$D$100, 2, FALSE), "")</f>
        <v/>
      </c>
      <c r="J33" s="10">
        <v>1.0</v>
      </c>
      <c r="K33" s="30">
        <f t="shared" si="4"/>
        <v>161.7</v>
      </c>
      <c r="L33" s="10" t="s">
        <v>131</v>
      </c>
      <c r="M33" s="31"/>
      <c r="N33" s="34" t="s">
        <v>88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28" t="s">
        <v>57</v>
      </c>
      <c r="B34" s="29">
        <f t="shared" si="5"/>
        <v>85</v>
      </c>
      <c r="C34" s="6">
        <f>'League fees'!G34</f>
        <v>24</v>
      </c>
      <c r="D34" s="6">
        <f>'BUCS fees'!E34</f>
        <v>0</v>
      </c>
      <c r="E34" s="29" t="str">
        <f>IFERROR(VLOOKUP(A34, Travel!$A$2:$B$99, 2, FALSE), "")</f>
        <v/>
      </c>
      <c r="F34" s="6" t="str">
        <f>IFERROR(VLOOKUP(A34, Umpiring!$A$2:$C$100, 2, FALSE), "")</f>
        <v/>
      </c>
      <c r="G34" s="33">
        <f>'CUMHC Kit'!E34</f>
        <v>87</v>
      </c>
      <c r="H34" s="6" t="str">
        <f>IFERROR(VLOOKUP(A34, 'Saxon Order'!$A$2:$C$100, 2, FALSE), "")</f>
        <v/>
      </c>
      <c r="I34" s="6" t="str">
        <f>IFERROR(VLOOKUP(A34, 'Y1 order'!$A$2:$D$100, 2, FALSE), "")</f>
        <v/>
      </c>
      <c r="J34" s="10">
        <v>-42.5</v>
      </c>
      <c r="K34" s="30">
        <f t="shared" si="4"/>
        <v>153.5</v>
      </c>
      <c r="L34" s="10" t="s">
        <v>134</v>
      </c>
      <c r="M34" s="31"/>
      <c r="N34" s="34" t="s">
        <v>89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28" t="s">
        <v>59</v>
      </c>
      <c r="B35" s="29">
        <f t="shared" si="5"/>
        <v>85</v>
      </c>
      <c r="C35" s="6">
        <f>'League fees'!G35</f>
        <v>12</v>
      </c>
      <c r="D35" s="6">
        <f>'BUCS fees'!E35</f>
        <v>0</v>
      </c>
      <c r="E35" s="29" t="str">
        <f>IFERROR(VLOOKUP(A35, Travel!$A$2:$B$99, 2, FALSE), "")</f>
        <v/>
      </c>
      <c r="F35" s="6" t="str">
        <f>IFERROR(VLOOKUP(A35, Umpiring!$A$2:$C$100, 2, FALSE), "")</f>
        <v/>
      </c>
      <c r="G35" s="33">
        <f>'CUMHC Kit'!E35</f>
        <v>32.5</v>
      </c>
      <c r="H35" s="6">
        <f>IFERROR(VLOOKUP(A35, 'Saxon Order'!$A$2:$C$100, 2, FALSE), "")</f>
        <v>56.2</v>
      </c>
      <c r="I35" s="6">
        <f>IFERROR(VLOOKUP(A35, 'Y1 order'!$A$2:$D$100, 2, FALSE), "")</f>
        <v>75.98</v>
      </c>
      <c r="J35" s="6"/>
      <c r="K35" s="30">
        <f t="shared" si="4"/>
        <v>261.68</v>
      </c>
      <c r="L35" s="6"/>
      <c r="M35" s="31"/>
      <c r="N35" s="34" t="s">
        <v>135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28" t="s">
        <v>60</v>
      </c>
      <c r="B36" s="29" t="str">
        <f t="shared" si="5"/>
        <v/>
      </c>
      <c r="C36" s="6">
        <f>'League fees'!G36</f>
        <v>40</v>
      </c>
      <c r="D36" s="6">
        <f>'BUCS fees'!E36</f>
        <v>20</v>
      </c>
      <c r="E36" s="29" t="str">
        <f>IFERROR(VLOOKUP(A36, Travel!$A$2:$B$99, 2, FALSE), "")</f>
        <v/>
      </c>
      <c r="F36" s="6" t="str">
        <f>IFERROR(VLOOKUP(A36, Umpiring!$A$2:$C$100, 2, FALSE), "")</f>
        <v/>
      </c>
      <c r="G36" s="33">
        <f>'CUMHC Kit'!E36</f>
        <v>32.5</v>
      </c>
      <c r="H36" s="6">
        <f>IFERROR(VLOOKUP(A36, 'Saxon Order'!$A$2:$C$100, 2, FALSE), "")</f>
        <v>56.2</v>
      </c>
      <c r="I36" s="6" t="str">
        <f>IFERROR(VLOOKUP(A36, 'Y1 order'!$A$2:$D$100, 2, FALSE), "")</f>
        <v/>
      </c>
      <c r="J36" s="6"/>
      <c r="K36" s="30">
        <f t="shared" si="4"/>
        <v>148.7</v>
      </c>
      <c r="L36" s="6"/>
      <c r="M36" s="31"/>
      <c r="N36" s="34" t="s">
        <v>93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28" t="s">
        <v>61</v>
      </c>
      <c r="B37" s="29" t="str">
        <f t="shared" si="5"/>
        <v/>
      </c>
      <c r="C37" s="6">
        <f>'League fees'!G37</f>
        <v>40</v>
      </c>
      <c r="D37" s="6">
        <f>'BUCS fees'!E37</f>
        <v>0</v>
      </c>
      <c r="E37" s="29" t="str">
        <f>IFERROR(VLOOKUP(A37, Travel!$A$2:$B$99, 2, FALSE), "")</f>
        <v/>
      </c>
      <c r="F37" s="6" t="str">
        <f>IFERROR(VLOOKUP(A37, Umpiring!$A$2:$C$100, 2, FALSE), "")</f>
        <v/>
      </c>
      <c r="G37" s="33">
        <f>'CUMHC Kit'!E37</f>
        <v>32.5</v>
      </c>
      <c r="H37" s="6" t="str">
        <f>IFERROR(VLOOKUP(A37, 'Saxon Order'!$A$2:$C$100, 2, FALSE), "")</f>
        <v/>
      </c>
      <c r="I37" s="6" t="str">
        <f>IFERROR(VLOOKUP(A37, 'Y1 order'!$A$2:$D$100, 2, FALSE), "")</f>
        <v/>
      </c>
      <c r="J37" s="6"/>
      <c r="K37" s="30">
        <f t="shared" si="4"/>
        <v>72.5</v>
      </c>
      <c r="L37" s="6"/>
      <c r="M37" s="31"/>
      <c r="N37" s="34" t="s">
        <v>94</v>
      </c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28" t="s">
        <v>62</v>
      </c>
      <c r="B38" s="29" t="str">
        <f t="shared" si="5"/>
        <v/>
      </c>
      <c r="C38" s="6">
        <f>'League fees'!G38</f>
        <v>36</v>
      </c>
      <c r="D38" s="6">
        <f>'BUCS fees'!E38</f>
        <v>0</v>
      </c>
      <c r="E38" s="29" t="str">
        <f>IFERROR(VLOOKUP(A38, Travel!$A$2:$B$99, 2, FALSE), "")</f>
        <v/>
      </c>
      <c r="F38" s="6" t="str">
        <f>IFERROR(VLOOKUP(A38, Umpiring!$A$2:$C$100, 2, FALSE), "")</f>
        <v/>
      </c>
      <c r="G38" s="33">
        <f>'CUMHC Kit'!E38</f>
        <v>32.5</v>
      </c>
      <c r="H38" s="6" t="str">
        <f>IFERROR(VLOOKUP(A38, 'Saxon Order'!$A$2:$C$100, 2, FALSE), "")</f>
        <v/>
      </c>
      <c r="I38" s="6" t="str">
        <f>IFERROR(VLOOKUP(A38, 'Y1 order'!$A$2:$D$100, 2, FALSE), "")</f>
        <v/>
      </c>
      <c r="J38" s="6"/>
      <c r="K38" s="30">
        <f t="shared" si="4"/>
        <v>68.5</v>
      </c>
      <c r="L38" s="6"/>
      <c r="M38" s="31"/>
      <c r="N38" s="34" t="s">
        <v>97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28" t="s">
        <v>63</v>
      </c>
      <c r="B39" s="29" t="str">
        <f t="shared" si="5"/>
        <v/>
      </c>
      <c r="C39" s="6">
        <f>'League fees'!G39</f>
        <v>28</v>
      </c>
      <c r="D39" s="6">
        <f>'BUCS fees'!E39</f>
        <v>0</v>
      </c>
      <c r="E39" s="29" t="str">
        <f>IFERROR(VLOOKUP(A39, Travel!$A$2:$B$99, 2, FALSE), "")</f>
        <v/>
      </c>
      <c r="F39" s="6" t="str">
        <f>IFERROR(VLOOKUP(A39, Umpiring!$A$2:$C$100, 2, FALSE), "")</f>
        <v/>
      </c>
      <c r="G39" s="33">
        <f>'CUMHC Kit'!E39</f>
        <v>0</v>
      </c>
      <c r="H39" s="6" t="str">
        <f>IFERROR(VLOOKUP(A39, 'Saxon Order'!$A$2:$C$100, 2, FALSE), "")</f>
        <v/>
      </c>
      <c r="I39" s="6" t="str">
        <f>IFERROR(VLOOKUP(A39, 'Y1 order'!$A$2:$D$100, 2, FALSE), "")</f>
        <v/>
      </c>
      <c r="J39" s="6"/>
      <c r="K39" s="30">
        <f t="shared" si="4"/>
        <v>28</v>
      </c>
      <c r="L39" s="6"/>
      <c r="M39" s="31"/>
      <c r="N39" s="34" t="s">
        <v>98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28" t="s">
        <v>64</v>
      </c>
      <c r="B40" s="29" t="str">
        <f t="shared" si="5"/>
        <v/>
      </c>
      <c r="C40" s="6">
        <f>'League fees'!G40</f>
        <v>44</v>
      </c>
      <c r="D40" s="6">
        <f>'BUCS fees'!E40</f>
        <v>30</v>
      </c>
      <c r="E40" s="29" t="str">
        <f>IFERROR(VLOOKUP(A40, Travel!$A$2:$B$99, 2, FALSE), "")</f>
        <v/>
      </c>
      <c r="F40" s="6" t="str">
        <f>IFERROR(VLOOKUP(A40, Umpiring!$A$2:$C$100, 2, FALSE), "")</f>
        <v/>
      </c>
      <c r="G40" s="33">
        <f>'CUMHC Kit'!E40</f>
        <v>32.5</v>
      </c>
      <c r="H40" s="6" t="str">
        <f>IFERROR(VLOOKUP(A40, 'Saxon Order'!$A$2:$C$100, 2, FALSE), "")</f>
        <v/>
      </c>
      <c r="I40" s="6" t="str">
        <f>IFERROR(VLOOKUP(A40, 'Y1 order'!$A$2:$D$100, 2, FALSE), "")</f>
        <v/>
      </c>
      <c r="J40" s="6"/>
      <c r="K40" s="30">
        <f t="shared" si="4"/>
        <v>106.5</v>
      </c>
      <c r="L40" s="6"/>
      <c r="M40" s="31"/>
      <c r="N40" s="34" t="s">
        <v>99</v>
      </c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28" t="s">
        <v>65</v>
      </c>
      <c r="B41" s="29">
        <f t="shared" si="5"/>
        <v>85</v>
      </c>
      <c r="C41" s="6">
        <f>'League fees'!G41</f>
        <v>40</v>
      </c>
      <c r="D41" s="6">
        <f>'BUCS fees'!E41</f>
        <v>16</v>
      </c>
      <c r="E41" s="29" t="str">
        <f>IFERROR(VLOOKUP(A41, Travel!$A$2:$B$99, 2, FALSE), "")</f>
        <v/>
      </c>
      <c r="F41" s="6" t="str">
        <f>IFERROR(VLOOKUP(A41, Umpiring!$A$2:$C$100, 2, FALSE), "")</f>
        <v/>
      </c>
      <c r="G41" s="33">
        <f>'CUMHC Kit'!E41</f>
        <v>87</v>
      </c>
      <c r="H41" s="6">
        <f>IFERROR(VLOOKUP(A41, 'Saxon Order'!$A$2:$C$100, 2, FALSE), "")</f>
        <v>56.2</v>
      </c>
      <c r="I41" s="6" t="str">
        <f>IFERROR(VLOOKUP(A41, 'Y1 order'!$A$2:$D$100, 2, FALSE), "")</f>
        <v/>
      </c>
      <c r="J41" s="6"/>
      <c r="K41" s="30">
        <f t="shared" si="4"/>
        <v>284.2</v>
      </c>
      <c r="L41" s="6"/>
      <c r="M41" s="31"/>
      <c r="N41" s="34" t="s">
        <v>100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28" t="s">
        <v>66</v>
      </c>
      <c r="B42" s="29">
        <f t="shared" si="5"/>
        <v>85</v>
      </c>
      <c r="C42" s="6">
        <f>'League fees'!G42</f>
        <v>16</v>
      </c>
      <c r="D42" s="6">
        <f>'BUCS fees'!E42</f>
        <v>15</v>
      </c>
      <c r="E42" s="29" t="str">
        <f>IFERROR(VLOOKUP(A42, Travel!$A$2:$B$99, 2, FALSE), "")</f>
        <v/>
      </c>
      <c r="F42" s="6" t="str">
        <f>IFERROR(VLOOKUP(A42, Umpiring!$A$2:$C$100, 2, FALSE), "")</f>
        <v/>
      </c>
      <c r="G42" s="33">
        <f>'CUMHC Kit'!E42</f>
        <v>87</v>
      </c>
      <c r="H42" s="6" t="str">
        <f>IFERROR(VLOOKUP(A42, 'Saxon Order'!$A$2:$C$100, 2, FALSE), "")</f>
        <v/>
      </c>
      <c r="I42" s="6" t="str">
        <f>IFERROR(VLOOKUP(A42, 'Y1 order'!$A$2:$D$100, 2, FALSE), "")</f>
        <v/>
      </c>
      <c r="J42" s="6"/>
      <c r="K42" s="30">
        <f t="shared" si="4"/>
        <v>203</v>
      </c>
      <c r="L42" s="6"/>
      <c r="M42" s="31"/>
      <c r="N42" s="34" t="s">
        <v>102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28" t="s">
        <v>67</v>
      </c>
      <c r="B43" s="29">
        <f t="shared" si="5"/>
        <v>85</v>
      </c>
      <c r="C43" s="6">
        <f>'League fees'!G43</f>
        <v>40</v>
      </c>
      <c r="D43" s="6">
        <f>'BUCS fees'!E43</f>
        <v>30</v>
      </c>
      <c r="E43" s="29" t="str">
        <f>IFERROR(VLOOKUP(A43, Travel!$A$2:$B$99, 2, FALSE), "")</f>
        <v/>
      </c>
      <c r="F43" s="6" t="str">
        <f>IFERROR(VLOOKUP(A43, Umpiring!$A$2:$C$100, 2, FALSE), "")</f>
        <v/>
      </c>
      <c r="G43" s="33">
        <f>'CUMHC Kit'!E43</f>
        <v>87</v>
      </c>
      <c r="H43" s="6" t="str">
        <f>IFERROR(VLOOKUP(A43, 'Saxon Order'!$A$2:$C$100, 2, FALSE), "")</f>
        <v/>
      </c>
      <c r="I43" s="6" t="str">
        <f>IFERROR(VLOOKUP(A43, 'Y1 order'!$A$2:$D$100, 2, FALSE), "")</f>
        <v/>
      </c>
      <c r="J43" s="6"/>
      <c r="K43" s="30">
        <f t="shared" si="4"/>
        <v>242</v>
      </c>
      <c r="L43" s="6"/>
      <c r="M43" s="31"/>
      <c r="N43" s="34" t="s">
        <v>103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28" t="s">
        <v>68</v>
      </c>
      <c r="B44" s="29" t="str">
        <f t="shared" si="5"/>
        <v/>
      </c>
      <c r="C44" s="6">
        <f>'League fees'!G44</f>
        <v>36</v>
      </c>
      <c r="D44" s="6">
        <f>'BUCS fees'!E44</f>
        <v>0</v>
      </c>
      <c r="E44" s="29">
        <f>IFERROR(VLOOKUP(A44, Travel!$A$2:$B$99, 2, FALSE), "")</f>
        <v>-103.4</v>
      </c>
      <c r="F44" s="6" t="str">
        <f>IFERROR(VLOOKUP(A44, Umpiring!$A$2:$C$100, 2, FALSE), "")</f>
        <v/>
      </c>
      <c r="G44" s="33">
        <f>'CUMHC Kit'!E44</f>
        <v>32.5</v>
      </c>
      <c r="H44" s="6" t="str">
        <f>IFERROR(VLOOKUP(A44, 'Saxon Order'!$A$2:$C$100, 2, FALSE), "")</f>
        <v/>
      </c>
      <c r="I44" s="6" t="str">
        <f>IFERROR(VLOOKUP(A44, 'Y1 order'!$A$2:$D$100, 2, FALSE), "")</f>
        <v/>
      </c>
      <c r="J44" s="6"/>
      <c r="K44" s="30">
        <f t="shared" si="4"/>
        <v>-34.9</v>
      </c>
      <c r="L44" s="6"/>
      <c r="M44" s="31"/>
      <c r="N44" s="35" t="s">
        <v>108</v>
      </c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28" t="s">
        <v>69</v>
      </c>
      <c r="B45" s="29" t="str">
        <f t="shared" si="5"/>
        <v/>
      </c>
      <c r="C45" s="6">
        <f>'League fees'!G45</f>
        <v>32</v>
      </c>
      <c r="D45" s="6">
        <f>'BUCS fees'!E45</f>
        <v>20</v>
      </c>
      <c r="E45" s="29" t="str">
        <f>IFERROR(VLOOKUP(A45, Travel!$A$2:$B$99, 2, FALSE), "")</f>
        <v/>
      </c>
      <c r="F45" s="6" t="str">
        <f>IFERROR(VLOOKUP(A45, Umpiring!$A$2:$C$100, 2, FALSE), "")</f>
        <v/>
      </c>
      <c r="G45" s="33">
        <f>'CUMHC Kit'!E45</f>
        <v>32.5</v>
      </c>
      <c r="H45" s="6" t="str">
        <f>IFERROR(VLOOKUP(A45, 'Saxon Order'!$A$2:$C$100, 2, FALSE), "")</f>
        <v/>
      </c>
      <c r="I45" s="6" t="str">
        <f>IFERROR(VLOOKUP(A45, 'Y1 order'!$A$2:$D$100, 2, FALSE), "")</f>
        <v/>
      </c>
      <c r="J45" s="6"/>
      <c r="K45" s="30">
        <f t="shared" si="4"/>
        <v>84.5</v>
      </c>
      <c r="L45" s="6"/>
      <c r="M45" s="31"/>
      <c r="N45" s="34" t="s">
        <v>106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28" t="s">
        <v>70</v>
      </c>
      <c r="B46" s="29" t="str">
        <f t="shared" si="5"/>
        <v/>
      </c>
      <c r="C46" s="6">
        <f>'League fees'!G46</f>
        <v>44</v>
      </c>
      <c r="D46" s="6">
        <f>'BUCS fees'!E46</f>
        <v>0</v>
      </c>
      <c r="E46" s="29" t="str">
        <f>IFERROR(VLOOKUP(A46, Travel!$A$2:$B$99, 2, FALSE), "")</f>
        <v/>
      </c>
      <c r="F46" s="6" t="str">
        <f>IFERROR(VLOOKUP(A46, Umpiring!$A$2:$C$100, 2, FALSE), "")</f>
        <v/>
      </c>
      <c r="G46" s="33">
        <f>'CUMHC Kit'!E46</f>
        <v>32.5</v>
      </c>
      <c r="H46" s="6" t="str">
        <f>IFERROR(VLOOKUP(A46, 'Saxon Order'!$A$2:$C$100, 2, FALSE), "")</f>
        <v/>
      </c>
      <c r="I46" s="6" t="str">
        <f>IFERROR(VLOOKUP(A46, 'Y1 order'!$A$2:$D$100, 2, FALSE), "")</f>
        <v/>
      </c>
      <c r="J46" s="6"/>
      <c r="K46" s="30">
        <f t="shared" si="4"/>
        <v>76.5</v>
      </c>
      <c r="L46" s="6"/>
      <c r="M46" s="31"/>
      <c r="N46" s="34" t="s">
        <v>107</v>
      </c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28" t="s">
        <v>71</v>
      </c>
      <c r="B47" s="29" t="str">
        <f t="shared" si="5"/>
        <v/>
      </c>
      <c r="C47" s="6">
        <f>'League fees'!G47</f>
        <v>44</v>
      </c>
      <c r="D47" s="6">
        <f>'BUCS fees'!E47</f>
        <v>25</v>
      </c>
      <c r="E47" s="29" t="str">
        <f>IFERROR(VLOOKUP(A47, Travel!$A$2:$B$99, 2, FALSE), "")</f>
        <v/>
      </c>
      <c r="F47" s="6">
        <f>IFERROR(VLOOKUP(A47, Umpiring!$A$2:$C$100, 2, FALSE), "")</f>
        <v>-120</v>
      </c>
      <c r="G47" s="33">
        <f>'CUMHC Kit'!E47</f>
        <v>32.5</v>
      </c>
      <c r="H47" s="6" t="str">
        <f>IFERROR(VLOOKUP(A47, 'Saxon Order'!$A$2:$C$100, 2, FALSE), "")</f>
        <v/>
      </c>
      <c r="I47" s="6" t="str">
        <f>IFERROR(VLOOKUP(A47, 'Y1 order'!$A$2:$D$100, 2, FALSE), "")</f>
        <v/>
      </c>
      <c r="J47" s="6"/>
      <c r="K47" s="30">
        <f t="shared" si="4"/>
        <v>-18.5</v>
      </c>
      <c r="L47" s="6"/>
      <c r="M47" s="31"/>
      <c r="N47" s="34" t="s">
        <v>113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28" t="s">
        <v>72</v>
      </c>
      <c r="B48" s="29" t="str">
        <f t="shared" si="5"/>
        <v/>
      </c>
      <c r="C48" s="6">
        <f>'League fees'!G48</f>
        <v>48</v>
      </c>
      <c r="D48" s="6">
        <f>'BUCS fees'!E48</f>
        <v>30</v>
      </c>
      <c r="E48" s="29" t="str">
        <f>IFERROR(VLOOKUP(A48, Travel!$A$2:$B$99, 2, FALSE), "")</f>
        <v/>
      </c>
      <c r="F48" s="6">
        <f>IFERROR(VLOOKUP(A48, Umpiring!$A$2:$C$100, 2, FALSE), "")</f>
        <v>-90</v>
      </c>
      <c r="G48" s="33">
        <f>'CUMHC Kit'!E48</f>
        <v>32.5</v>
      </c>
      <c r="H48" s="6" t="str">
        <f>IFERROR(VLOOKUP(A48, 'Saxon Order'!$A$2:$C$100, 2, FALSE), "")</f>
        <v/>
      </c>
      <c r="I48" s="6" t="str">
        <f>IFERROR(VLOOKUP(A48, 'Y1 order'!$A$2:$D$100, 2, FALSE), "")</f>
        <v/>
      </c>
      <c r="J48" s="6"/>
      <c r="K48" s="30">
        <f t="shared" si="4"/>
        <v>20.5</v>
      </c>
      <c r="L48" s="6"/>
      <c r="M48" s="31"/>
      <c r="N48" s="34" t="s">
        <v>115</v>
      </c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28" t="s">
        <v>73</v>
      </c>
      <c r="B49" s="29" t="str">
        <f t="shared" si="5"/>
        <v/>
      </c>
      <c r="C49" s="6">
        <f>'League fees'!G49</f>
        <v>4</v>
      </c>
      <c r="D49" s="6">
        <f>'BUCS fees'!E49</f>
        <v>0</v>
      </c>
      <c r="E49" s="29" t="str">
        <f>IFERROR(VLOOKUP(A49, Travel!$A$2:$B$99, 2, FALSE), "")</f>
        <v/>
      </c>
      <c r="F49" s="6" t="str">
        <f>IFERROR(VLOOKUP(A49, Umpiring!$A$2:$C$100, 2, FALSE), "")</f>
        <v/>
      </c>
      <c r="G49" s="33">
        <f>'CUMHC Kit'!E49</f>
        <v>32.5</v>
      </c>
      <c r="H49" s="6">
        <f>IFERROR(VLOOKUP(A49, 'Saxon Order'!$A$2:$C$100, 2, FALSE), "")</f>
        <v>56.2</v>
      </c>
      <c r="I49" s="6" t="str">
        <f>IFERROR(VLOOKUP(A49, 'Y1 order'!$A$2:$D$100, 2, FALSE), "")</f>
        <v/>
      </c>
      <c r="J49" s="10">
        <v>-60.0</v>
      </c>
      <c r="K49" s="30">
        <f t="shared" si="4"/>
        <v>32.7</v>
      </c>
      <c r="L49" s="10" t="s">
        <v>136</v>
      </c>
      <c r="M49" s="31"/>
      <c r="N49" s="34" t="s">
        <v>116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28" t="s">
        <v>74</v>
      </c>
      <c r="B50" s="29">
        <f t="shared" si="5"/>
        <v>85</v>
      </c>
      <c r="C50" s="6">
        <f>'League fees'!G50</f>
        <v>32</v>
      </c>
      <c r="D50" s="6">
        <f>'BUCS fees'!E50</f>
        <v>8</v>
      </c>
      <c r="E50" s="29" t="str">
        <f>IFERROR(VLOOKUP(A50, Travel!$A$2:$B$99, 2, FALSE), "")</f>
        <v/>
      </c>
      <c r="F50" s="6" t="str">
        <f>IFERROR(VLOOKUP(A50, Umpiring!$A$2:$C$100, 2, FALSE), "")</f>
        <v/>
      </c>
      <c r="G50" s="33">
        <f>'CUMHC Kit'!E50</f>
        <v>87</v>
      </c>
      <c r="H50" s="6" t="str">
        <f>IFERROR(VLOOKUP(A50, 'Saxon Order'!$A$2:$C$100, 2, FALSE), "")</f>
        <v/>
      </c>
      <c r="I50" s="6" t="str">
        <f>IFERROR(VLOOKUP(A50, 'Y1 order'!$A$2:$D$100, 2, FALSE), "")</f>
        <v/>
      </c>
      <c r="J50" s="6"/>
      <c r="K50" s="30">
        <f t="shared" si="4"/>
        <v>212</v>
      </c>
      <c r="L50" s="6"/>
      <c r="M50" s="3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28" t="s">
        <v>75</v>
      </c>
      <c r="B51" s="36">
        <v>85.0</v>
      </c>
      <c r="C51" s="6">
        <f>'League fees'!G51</f>
        <v>16</v>
      </c>
      <c r="D51" s="6">
        <f>'BUCS fees'!E51</f>
        <v>8</v>
      </c>
      <c r="E51" s="29" t="str">
        <f>IFERROR(VLOOKUP(A51, Travel!$A$2:$B$99, 2, FALSE), "")</f>
        <v/>
      </c>
      <c r="F51" s="6" t="str">
        <f>IFERROR(VLOOKUP(A51, Umpiring!$A$2:$C$100, 2, FALSE), "")</f>
        <v/>
      </c>
      <c r="G51" s="33">
        <f>'CUMHC Kit'!E51</f>
        <v>32.5</v>
      </c>
      <c r="H51" s="6">
        <f>IFERROR(VLOOKUP(A51, 'Saxon Order'!$A$2:$C$100, 2, FALSE), "")</f>
        <v>56.2</v>
      </c>
      <c r="I51" s="6" t="str">
        <f>IFERROR(VLOOKUP(A51, 'Y1 order'!$A$2:$D$100, 2, FALSE), "")</f>
        <v/>
      </c>
      <c r="J51" s="10">
        <v>-55.0</v>
      </c>
      <c r="K51" s="30">
        <f t="shared" si="4"/>
        <v>142.7</v>
      </c>
      <c r="L51" s="10" t="s">
        <v>137</v>
      </c>
      <c r="M51" s="3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28" t="s">
        <v>76</v>
      </c>
      <c r="B52" s="29">
        <f>IF(ISNUMBER(MATCH(A52, $N$2:$N$99, 0)), "", 85)</f>
        <v>85</v>
      </c>
      <c r="C52" s="6">
        <f>'League fees'!G52</f>
        <v>32</v>
      </c>
      <c r="D52" s="6">
        <f>'BUCS fees'!E52</f>
        <v>0</v>
      </c>
      <c r="E52" s="29" t="str">
        <f>IFERROR(VLOOKUP(A52, Travel!$A$2:$B$99, 2, FALSE), "")</f>
        <v/>
      </c>
      <c r="F52" s="6" t="str">
        <f>IFERROR(VLOOKUP(A52, Umpiring!$A$2:$C$100, 2, FALSE), "")</f>
        <v/>
      </c>
      <c r="G52" s="33">
        <f>'CUMHC Kit'!E52</f>
        <v>87</v>
      </c>
      <c r="H52" s="6">
        <f>IFERROR(VLOOKUP(A52, 'Saxon Order'!$A$2:$C$100, 2, FALSE), "")</f>
        <v>56.2</v>
      </c>
      <c r="I52" s="6" t="str">
        <f>IFERROR(VLOOKUP(A52, 'Y1 order'!$A$2:$D$100, 2, FALSE), "")</f>
        <v/>
      </c>
      <c r="J52" s="6"/>
      <c r="K52" s="30">
        <f t="shared" si="4"/>
        <v>260.2</v>
      </c>
      <c r="L52" s="6"/>
      <c r="M52" s="3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28" t="s">
        <v>77</v>
      </c>
      <c r="B53" s="36">
        <v>85.0</v>
      </c>
      <c r="C53" s="6">
        <f>'League fees'!G53</f>
        <v>32</v>
      </c>
      <c r="D53" s="6">
        <f>'BUCS fees'!E53</f>
        <v>0</v>
      </c>
      <c r="E53" s="29">
        <f>IFERROR(VLOOKUP(A53, Travel!$A$2:$B$99, 2, FALSE), "")</f>
        <v>-11.49</v>
      </c>
      <c r="F53" s="6">
        <f>IFERROR(VLOOKUP(A53, Umpiring!$A$2:$C$100, 2, FALSE), "")</f>
        <v>-120</v>
      </c>
      <c r="G53" s="33">
        <f>'CUMHC Kit'!E53</f>
        <v>32.5</v>
      </c>
      <c r="H53" s="6" t="str">
        <f>IFERROR(VLOOKUP(A53, 'Saxon Order'!$A$2:$C$100, 2, FALSE), "")</f>
        <v/>
      </c>
      <c r="I53" s="6" t="str">
        <f>IFERROR(VLOOKUP(A53, 'Y1 order'!$A$2:$D$100, 2, FALSE), "")</f>
        <v/>
      </c>
      <c r="J53" s="6"/>
      <c r="K53" s="30">
        <f t="shared" si="4"/>
        <v>18.01</v>
      </c>
      <c r="L53" s="6"/>
      <c r="M53" s="3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28" t="s">
        <v>78</v>
      </c>
      <c r="B54" s="29" t="str">
        <f t="shared" ref="B54:B60" si="6">IF(ISNUMBER(MATCH(A54, $N$2:$N$99, 0)), "", 85)</f>
        <v/>
      </c>
      <c r="C54" s="6">
        <f>'League fees'!G54</f>
        <v>40</v>
      </c>
      <c r="D54" s="6">
        <f>'BUCS fees'!E54</f>
        <v>0</v>
      </c>
      <c r="E54" s="29" t="str">
        <f>IFERROR(VLOOKUP(A54, Travel!$A$2:$B$99, 2, FALSE), "")</f>
        <v/>
      </c>
      <c r="F54" s="6" t="str">
        <f>IFERROR(VLOOKUP(A54, Umpiring!$A$2:$C$100, 2, FALSE), "")</f>
        <v/>
      </c>
      <c r="G54" s="33">
        <f>'CUMHC Kit'!E54</f>
        <v>32.5</v>
      </c>
      <c r="H54" s="6" t="str">
        <f>IFERROR(VLOOKUP(A54, 'Saxon Order'!$A$2:$C$100, 2, FALSE), "")</f>
        <v/>
      </c>
      <c r="I54" s="6" t="str">
        <f>IFERROR(VLOOKUP(A54, 'Y1 order'!$A$2:$D$100, 2, FALSE), "")</f>
        <v/>
      </c>
      <c r="J54" s="6"/>
      <c r="K54" s="30">
        <f t="shared" si="4"/>
        <v>72.5</v>
      </c>
      <c r="L54" s="6"/>
      <c r="M54" s="3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28" t="s">
        <v>79</v>
      </c>
      <c r="B55" s="29">
        <f t="shared" si="6"/>
        <v>85</v>
      </c>
      <c r="C55" s="6">
        <f>'League fees'!G55</f>
        <v>40</v>
      </c>
      <c r="D55" s="6">
        <f>'BUCS fees'!E55</f>
        <v>28</v>
      </c>
      <c r="E55" s="29" t="str">
        <f>IFERROR(VLOOKUP(A55, Travel!$A$2:$B$99, 2, FALSE), "")</f>
        <v/>
      </c>
      <c r="F55" s="6" t="str">
        <f>IFERROR(VLOOKUP(A55, Umpiring!$A$2:$C$100, 2, FALSE), "")</f>
        <v/>
      </c>
      <c r="G55" s="33">
        <f>'CUMHC Kit'!E55</f>
        <v>87</v>
      </c>
      <c r="H55" s="6">
        <f>IFERROR(VLOOKUP(A55, 'Saxon Order'!$A$2:$C$100, 2, FALSE), "")</f>
        <v>56.2</v>
      </c>
      <c r="I55" s="6" t="str">
        <f>IFERROR(VLOOKUP(A55, 'Y1 order'!$A$2:$D$100, 2, FALSE), "")</f>
        <v/>
      </c>
      <c r="J55" s="6"/>
      <c r="K55" s="30">
        <f t="shared" si="4"/>
        <v>296.2</v>
      </c>
      <c r="L55" s="6"/>
      <c r="M55" s="3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28" t="s">
        <v>80</v>
      </c>
      <c r="B56" s="29">
        <f t="shared" si="6"/>
        <v>85</v>
      </c>
      <c r="C56" s="6">
        <f>'League fees'!G56</f>
        <v>36</v>
      </c>
      <c r="D56" s="6">
        <f>'BUCS fees'!E56</f>
        <v>0</v>
      </c>
      <c r="E56" s="29" t="str">
        <f>IFERROR(VLOOKUP(A56, Travel!$A$2:$B$99, 2, FALSE), "")</f>
        <v/>
      </c>
      <c r="F56" s="6" t="str">
        <f>IFERROR(VLOOKUP(A56, Umpiring!$A$2:$C$100, 2, FALSE), "")</f>
        <v/>
      </c>
      <c r="G56" s="33">
        <f>'CUMHC Kit'!E56</f>
        <v>87</v>
      </c>
      <c r="H56" s="6" t="str">
        <f>IFERROR(VLOOKUP(A56, 'Saxon Order'!$A$2:$C$100, 2, FALSE), "")</f>
        <v/>
      </c>
      <c r="I56" s="6" t="str">
        <f>IFERROR(VLOOKUP(A56, 'Y1 order'!$A$2:$D$100, 2, FALSE), "")</f>
        <v/>
      </c>
      <c r="J56" s="6"/>
      <c r="K56" s="30">
        <f t="shared" si="4"/>
        <v>208</v>
      </c>
      <c r="L56" s="6"/>
      <c r="M56" s="3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28" t="s">
        <v>81</v>
      </c>
      <c r="B57" s="29" t="str">
        <f t="shared" si="6"/>
        <v/>
      </c>
      <c r="C57" s="6">
        <f>'League fees'!G57</f>
        <v>48</v>
      </c>
      <c r="D57" s="6">
        <f>'BUCS fees'!E57</f>
        <v>0</v>
      </c>
      <c r="E57" s="29">
        <f>IFERROR(VLOOKUP(A57, Travel!$A$2:$B$99, 2, FALSE), "")</f>
        <v>-208.8</v>
      </c>
      <c r="F57" s="6" t="str">
        <f>IFERROR(VLOOKUP(A57, Umpiring!$A$2:$C$100, 2, FALSE), "")</f>
        <v/>
      </c>
      <c r="G57" s="33">
        <f>'CUMHC Kit'!E57</f>
        <v>32.5</v>
      </c>
      <c r="H57" s="6" t="str">
        <f>IFERROR(VLOOKUP(A57, 'Saxon Order'!$A$2:$C$100, 2, FALSE), "")</f>
        <v/>
      </c>
      <c r="I57" s="6" t="str">
        <f>IFERROR(VLOOKUP(A57, 'Y1 order'!$A$2:$D$100, 2, FALSE), "")</f>
        <v/>
      </c>
      <c r="J57" s="10">
        <v>5.0</v>
      </c>
      <c r="K57" s="30">
        <f t="shared" si="4"/>
        <v>-123.3</v>
      </c>
      <c r="L57" s="10" t="s">
        <v>131</v>
      </c>
      <c r="M57" s="3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28" t="s">
        <v>83</v>
      </c>
      <c r="B58" s="29">
        <f t="shared" si="6"/>
        <v>85</v>
      </c>
      <c r="C58" s="6">
        <f>'League fees'!G58</f>
        <v>28</v>
      </c>
      <c r="D58" s="6">
        <f>'BUCS fees'!E58</f>
        <v>16</v>
      </c>
      <c r="E58" s="29" t="str">
        <f>IFERROR(VLOOKUP(A58, Travel!$A$2:$B$99, 2, FALSE), "")</f>
        <v/>
      </c>
      <c r="F58" s="6" t="str">
        <f>IFERROR(VLOOKUP(A58, Umpiring!$A$2:$C$100, 2, FALSE), "")</f>
        <v/>
      </c>
      <c r="G58" s="33">
        <f>'CUMHC Kit'!E58</f>
        <v>32.5</v>
      </c>
      <c r="H58" s="6" t="str">
        <f>IFERROR(VLOOKUP(A58, 'Saxon Order'!$A$2:$C$100, 2, FALSE), "")</f>
        <v/>
      </c>
      <c r="I58" s="6" t="str">
        <f>IFERROR(VLOOKUP(A58, 'Y1 order'!$A$2:$D$100, 2, FALSE), "")</f>
        <v/>
      </c>
      <c r="J58" s="6"/>
      <c r="K58" s="30">
        <f t="shared" si="4"/>
        <v>161.5</v>
      </c>
      <c r="L58" s="6"/>
      <c r="M58" s="3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28" t="s">
        <v>84</v>
      </c>
      <c r="B59" s="29">
        <f t="shared" si="6"/>
        <v>85</v>
      </c>
      <c r="C59" s="6">
        <f>'League fees'!G59</f>
        <v>12</v>
      </c>
      <c r="D59" s="6">
        <f>'BUCS fees'!E59</f>
        <v>0</v>
      </c>
      <c r="E59" s="29" t="str">
        <f>IFERROR(VLOOKUP(A59, Travel!$A$2:$B$99, 2, FALSE), "")</f>
        <v/>
      </c>
      <c r="F59" s="6" t="str">
        <f>IFERROR(VLOOKUP(A59, Umpiring!$A$2:$C$100, 2, FALSE), "")</f>
        <v/>
      </c>
      <c r="G59" s="33">
        <f>'CUMHC Kit'!E59</f>
        <v>0</v>
      </c>
      <c r="H59" s="6" t="str">
        <f>IFERROR(VLOOKUP(A59, 'Saxon Order'!$A$2:$C$100, 2, FALSE), "")</f>
        <v/>
      </c>
      <c r="I59" s="6" t="str">
        <f>IFERROR(VLOOKUP(A59, 'Y1 order'!$A$2:$D$100, 2, FALSE), "")</f>
        <v/>
      </c>
      <c r="J59" s="6"/>
      <c r="K59" s="30">
        <f t="shared" si="4"/>
        <v>97</v>
      </c>
      <c r="L59" s="6"/>
      <c r="M59" s="3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28" t="s">
        <v>85</v>
      </c>
      <c r="B60" s="29">
        <f t="shared" si="6"/>
        <v>85</v>
      </c>
      <c r="C60" s="6">
        <f>'League fees'!G60</f>
        <v>48</v>
      </c>
      <c r="D60" s="6">
        <f>'BUCS fees'!E60</f>
        <v>30</v>
      </c>
      <c r="E60" s="29" t="str">
        <f>IFERROR(VLOOKUP(A60, Travel!$A$2:$B$99, 2, FALSE), "")</f>
        <v/>
      </c>
      <c r="F60" s="6" t="str">
        <f>IFERROR(VLOOKUP(A60, Umpiring!$A$2:$C$100, 2, FALSE), "")</f>
        <v/>
      </c>
      <c r="G60" s="33">
        <f>'CUMHC Kit'!E60</f>
        <v>87</v>
      </c>
      <c r="H60" s="6">
        <f>IFERROR(VLOOKUP(A60, 'Saxon Order'!$A$2:$C$100, 2, FALSE), "")</f>
        <v>56.2</v>
      </c>
      <c r="I60" s="6" t="str">
        <f>IFERROR(VLOOKUP(A60, 'Y1 order'!$A$2:$D$100, 2, FALSE), "")</f>
        <v/>
      </c>
      <c r="J60" s="6"/>
      <c r="K60" s="30">
        <f t="shared" si="4"/>
        <v>306.2</v>
      </c>
      <c r="L60" s="6"/>
      <c r="M60" s="3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28" t="s">
        <v>86</v>
      </c>
      <c r="B61" s="29"/>
      <c r="C61" s="6">
        <f>'League fees'!G61</f>
        <v>44</v>
      </c>
      <c r="D61" s="6">
        <f>'BUCS fees'!E61</f>
        <v>25</v>
      </c>
      <c r="E61" s="29" t="str">
        <f>IFERROR(VLOOKUP(A61, Travel!$A$2:$B$99, 2, FALSE), "")</f>
        <v/>
      </c>
      <c r="F61" s="6" t="str">
        <f>IFERROR(VLOOKUP(A61, Umpiring!$A$2:$C$100, 2, FALSE), "")</f>
        <v/>
      </c>
      <c r="G61" s="33">
        <f>'CUMHC Kit'!E61</f>
        <v>32.5</v>
      </c>
      <c r="H61" s="6" t="str">
        <f>IFERROR(VLOOKUP(A61, 'Saxon Order'!$A$2:$C$100, 2, FALSE), "")</f>
        <v/>
      </c>
      <c r="I61" s="6" t="str">
        <f>IFERROR(VLOOKUP(A61, 'Y1 order'!$A$2:$D$100, 2, FALSE), "")</f>
        <v/>
      </c>
      <c r="J61" s="6"/>
      <c r="K61" s="30">
        <f t="shared" si="4"/>
        <v>101.5</v>
      </c>
      <c r="L61" s="6"/>
      <c r="M61" s="3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28" t="s">
        <v>87</v>
      </c>
      <c r="B62" s="29" t="str">
        <f t="shared" ref="B62:B65" si="7">IF(ISNUMBER(MATCH(A62, $N$2:$N$99, 0)), "", 85)</f>
        <v/>
      </c>
      <c r="C62" s="6">
        <f>'League fees'!G62</f>
        <v>36</v>
      </c>
      <c r="D62" s="6">
        <f>'BUCS fees'!E62</f>
        <v>20</v>
      </c>
      <c r="E62" s="29" t="str">
        <f>IFERROR(VLOOKUP(A62, Travel!$A$2:$B$99, 2, FALSE), "")</f>
        <v/>
      </c>
      <c r="F62" s="6" t="str">
        <f>IFERROR(VLOOKUP(A62, Umpiring!$A$2:$C$100, 2, FALSE), "")</f>
        <v/>
      </c>
      <c r="G62" s="33">
        <f>'CUMHC Kit'!E62</f>
        <v>32.5</v>
      </c>
      <c r="H62" s="6" t="str">
        <f>IFERROR(VLOOKUP(A62, 'Saxon Order'!$A$2:$C$100, 2, FALSE), "")</f>
        <v/>
      </c>
      <c r="I62" s="6" t="str">
        <f>IFERROR(VLOOKUP(A62, 'Y1 order'!$A$2:$D$100, 2, FALSE), "")</f>
        <v/>
      </c>
      <c r="J62" s="6"/>
      <c r="K62" s="30">
        <f t="shared" si="4"/>
        <v>88.5</v>
      </c>
      <c r="L62" s="6"/>
      <c r="M62" s="3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28" t="s">
        <v>88</v>
      </c>
      <c r="B63" s="29" t="str">
        <f t="shared" si="7"/>
        <v/>
      </c>
      <c r="C63" s="6">
        <f>'League fees'!G63</f>
        <v>48</v>
      </c>
      <c r="D63" s="6">
        <f>'BUCS fees'!E63</f>
        <v>18</v>
      </c>
      <c r="E63" s="29" t="str">
        <f>IFERROR(VLOOKUP(A63, Travel!$A$2:$B$99, 2, FALSE), "")</f>
        <v/>
      </c>
      <c r="F63" s="6">
        <f>IFERROR(VLOOKUP(A63, Umpiring!$A$2:$C$100, 2, FALSE), "")</f>
        <v>-15</v>
      </c>
      <c r="G63" s="33">
        <f>'CUMHC Kit'!E63</f>
        <v>0</v>
      </c>
      <c r="H63" s="6">
        <f>IFERROR(VLOOKUP(A63, 'Saxon Order'!$A$2:$C$100, 2, FALSE), "")</f>
        <v>112.4</v>
      </c>
      <c r="I63" s="6" t="str">
        <f>IFERROR(VLOOKUP(A63, 'Y1 order'!$A$2:$D$100, 2, FALSE), "")</f>
        <v/>
      </c>
      <c r="J63" s="6"/>
      <c r="K63" s="30">
        <f t="shared" si="4"/>
        <v>163.4</v>
      </c>
      <c r="L63" s="6"/>
      <c r="M63" s="3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28" t="s">
        <v>89</v>
      </c>
      <c r="B64" s="29" t="str">
        <f t="shared" si="7"/>
        <v/>
      </c>
      <c r="C64" s="6">
        <f>'League fees'!G64</f>
        <v>40</v>
      </c>
      <c r="D64" s="6">
        <f>'BUCS fees'!E64</f>
        <v>30</v>
      </c>
      <c r="E64" s="29" t="str">
        <f>IFERROR(VLOOKUP(A64, Travel!$A$2:$B$99, 2, FALSE), "")</f>
        <v/>
      </c>
      <c r="F64" s="6" t="str">
        <f>IFERROR(VLOOKUP(A64, Umpiring!$A$2:$C$100, 2, FALSE), "")</f>
        <v/>
      </c>
      <c r="G64" s="33">
        <f>'CUMHC Kit'!E64</f>
        <v>65</v>
      </c>
      <c r="H64" s="6" t="str">
        <f>IFERROR(VLOOKUP(A64, 'Saxon Order'!$A$2:$C$100, 2, FALSE), "")</f>
        <v/>
      </c>
      <c r="I64" s="6" t="str">
        <f>IFERROR(VLOOKUP(A64, 'Y1 order'!$A$2:$D$100, 2, FALSE), "")</f>
        <v/>
      </c>
      <c r="J64" s="6"/>
      <c r="K64" s="30">
        <f t="shared" si="4"/>
        <v>135</v>
      </c>
      <c r="L64" s="6"/>
      <c r="M64" s="3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28" t="s">
        <v>91</v>
      </c>
      <c r="B65" s="29">
        <f t="shared" si="7"/>
        <v>85</v>
      </c>
      <c r="C65" s="6">
        <f>'League fees'!G65</f>
        <v>44</v>
      </c>
      <c r="D65" s="6">
        <f>'BUCS fees'!E65</f>
        <v>30</v>
      </c>
      <c r="E65" s="29">
        <f>IFERROR(VLOOKUP(A65, Travel!$A$2:$B$99, 2, FALSE), "")</f>
        <v>-243.1</v>
      </c>
      <c r="F65" s="6">
        <f>IFERROR(VLOOKUP(A65, Umpiring!$A$2:$C$100, 2, FALSE), "")</f>
        <v>-15</v>
      </c>
      <c r="G65" s="33">
        <f>'CUMHC Kit'!E65</f>
        <v>32.5</v>
      </c>
      <c r="H65" s="6" t="str">
        <f>IFERROR(VLOOKUP(A65, 'Saxon Order'!$A$2:$C$100, 2, FALSE), "")</f>
        <v/>
      </c>
      <c r="I65" s="6" t="str">
        <f>IFERROR(VLOOKUP(A65, 'Y1 order'!$A$2:$D$100, 2, FALSE), "")</f>
        <v/>
      </c>
      <c r="J65" s="6"/>
      <c r="K65" s="30">
        <f t="shared" si="4"/>
        <v>-66.6</v>
      </c>
      <c r="L65" s="6"/>
      <c r="M65" s="3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28" t="s">
        <v>92</v>
      </c>
      <c r="B66" s="29"/>
      <c r="C66" s="6">
        <f>'League fees'!G66</f>
        <v>24</v>
      </c>
      <c r="D66" s="6">
        <f>'BUCS fees'!E66</f>
        <v>0</v>
      </c>
      <c r="E66" s="29" t="str">
        <f>IFERROR(VLOOKUP(A66, Travel!$A$2:$B$99, 2, FALSE), "")</f>
        <v/>
      </c>
      <c r="F66" s="6">
        <f>IFERROR(VLOOKUP(A66, Umpiring!$A$2:$C$100, 2, FALSE), "")</f>
        <v>-60</v>
      </c>
      <c r="G66" s="33">
        <f>'CUMHC Kit'!E66</f>
        <v>32.5</v>
      </c>
      <c r="H66" s="6" t="str">
        <f>IFERROR(VLOOKUP(A66, 'Saxon Order'!$A$2:$C$100, 2, FALSE), "")</f>
        <v/>
      </c>
      <c r="I66" s="6" t="str">
        <f>IFERROR(VLOOKUP(A66, 'Y1 order'!$A$2:$D$100, 2, FALSE), "")</f>
        <v/>
      </c>
      <c r="J66" s="6"/>
      <c r="K66" s="30">
        <f t="shared" si="4"/>
        <v>-3.5</v>
      </c>
      <c r="L66" s="6"/>
      <c r="M66" s="3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28" t="s">
        <v>93</v>
      </c>
      <c r="B67" s="29" t="str">
        <f t="shared" ref="B67:B80" si="8">IF(ISNUMBER(MATCH(A67, $N$2:$N$99, 0)), "", 85)</f>
        <v/>
      </c>
      <c r="C67" s="6">
        <f>'League fees'!G67</f>
        <v>48</v>
      </c>
      <c r="D67" s="6">
        <f>'BUCS fees'!E67</f>
        <v>0</v>
      </c>
      <c r="E67" s="29" t="str">
        <f>IFERROR(VLOOKUP(A67, Travel!$A$2:$B$99, 2, FALSE), "")</f>
        <v/>
      </c>
      <c r="F67" s="6" t="str">
        <f>IFERROR(VLOOKUP(A67, Umpiring!$A$2:$C$100, 2, FALSE), "")</f>
        <v/>
      </c>
      <c r="G67" s="33">
        <f>'CUMHC Kit'!E67</f>
        <v>32.5</v>
      </c>
      <c r="H67" s="6" t="str">
        <f>IFERROR(VLOOKUP(A67, 'Saxon Order'!$A$2:$C$100, 2, FALSE), "")</f>
        <v/>
      </c>
      <c r="I67" s="6" t="str">
        <f>IFERROR(VLOOKUP(A67, 'Y1 order'!$A$2:$D$100, 2, FALSE), "")</f>
        <v/>
      </c>
      <c r="J67" s="6"/>
      <c r="K67" s="30">
        <f t="shared" si="4"/>
        <v>80.5</v>
      </c>
      <c r="L67" s="6"/>
      <c r="M67" s="3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28" t="s">
        <v>94</v>
      </c>
      <c r="B68" s="29" t="str">
        <f t="shared" si="8"/>
        <v/>
      </c>
      <c r="C68" s="6">
        <f>'League fees'!G68</f>
        <v>44</v>
      </c>
      <c r="D68" s="6">
        <f>'BUCS fees'!E68</f>
        <v>0</v>
      </c>
      <c r="E68" s="29" t="str">
        <f>IFERROR(VLOOKUP(A68, Travel!$A$2:$B$99, 2, FALSE), "")</f>
        <v/>
      </c>
      <c r="F68" s="6" t="str">
        <f>IFERROR(VLOOKUP(A68, Umpiring!$A$2:$C$100, 2, FALSE), "")</f>
        <v/>
      </c>
      <c r="G68" s="33">
        <f>'CUMHC Kit'!E68</f>
        <v>54.5</v>
      </c>
      <c r="H68" s="6" t="str">
        <f>IFERROR(VLOOKUP(A68, 'Saxon Order'!$A$2:$C$100, 2, FALSE), "")</f>
        <v/>
      </c>
      <c r="I68" s="6" t="str">
        <f>IFERROR(VLOOKUP(A68, 'Y1 order'!$A$2:$D$100, 2, FALSE), "")</f>
        <v/>
      </c>
      <c r="J68" s="6"/>
      <c r="K68" s="30">
        <f t="shared" si="4"/>
        <v>98.5</v>
      </c>
      <c r="L68" s="6"/>
      <c r="M68" s="3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28" t="s">
        <v>95</v>
      </c>
      <c r="B69" s="29">
        <f t="shared" si="8"/>
        <v>85</v>
      </c>
      <c r="C69" s="6">
        <f>'League fees'!G69</f>
        <v>28</v>
      </c>
      <c r="D69" s="6">
        <f>'BUCS fees'!E69</f>
        <v>0</v>
      </c>
      <c r="E69" s="29" t="str">
        <f>IFERROR(VLOOKUP(A69, Travel!$A$2:$B$99, 2, FALSE), "")</f>
        <v/>
      </c>
      <c r="F69" s="6" t="str">
        <f>IFERROR(VLOOKUP(A69, Umpiring!$A$2:$C$100, 2, FALSE), "")</f>
        <v/>
      </c>
      <c r="G69" s="33">
        <f>'CUMHC Kit'!E69</f>
        <v>87</v>
      </c>
      <c r="H69" s="6" t="str">
        <f>IFERROR(VLOOKUP(A69, 'Saxon Order'!$A$2:$C$100, 2, FALSE), "")</f>
        <v/>
      </c>
      <c r="I69" s="6" t="str">
        <f>IFERROR(VLOOKUP(A69, 'Y1 order'!$A$2:$D$100, 2, FALSE), "")</f>
        <v/>
      </c>
      <c r="J69" s="10">
        <v>1.0</v>
      </c>
      <c r="K69" s="30">
        <f t="shared" si="4"/>
        <v>201</v>
      </c>
      <c r="L69" s="10" t="s">
        <v>131</v>
      </c>
      <c r="M69" s="3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28" t="s">
        <v>97</v>
      </c>
      <c r="B70" s="29" t="str">
        <f t="shared" si="8"/>
        <v/>
      </c>
      <c r="C70" s="6">
        <f>'League fees'!G70</f>
        <v>48</v>
      </c>
      <c r="D70" s="6">
        <f>'BUCS fees'!E70</f>
        <v>0</v>
      </c>
      <c r="E70" s="29" t="str">
        <f>IFERROR(VLOOKUP(A70, Travel!$A$2:$B$99, 2, FALSE), "")</f>
        <v/>
      </c>
      <c r="F70" s="6" t="str">
        <f>IFERROR(VLOOKUP(A70, Umpiring!$A$2:$C$100, 2, FALSE), "")</f>
        <v/>
      </c>
      <c r="G70" s="33">
        <f>'CUMHC Kit'!E70</f>
        <v>32.5</v>
      </c>
      <c r="H70" s="6" t="str">
        <f>IFERROR(VLOOKUP(A70, 'Saxon Order'!$A$2:$C$100, 2, FALSE), "")</f>
        <v/>
      </c>
      <c r="I70" s="6">
        <f>IFERROR(VLOOKUP(A70, 'Y1 order'!$A$2:$D$100, 2, FALSE), "")</f>
        <v>37.99</v>
      </c>
      <c r="J70" s="6"/>
      <c r="K70" s="30">
        <f t="shared" si="4"/>
        <v>118.49</v>
      </c>
      <c r="L70" s="6"/>
      <c r="M70" s="3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28" t="s">
        <v>98</v>
      </c>
      <c r="B71" s="29" t="str">
        <f t="shared" si="8"/>
        <v/>
      </c>
      <c r="C71" s="6">
        <f>'League fees'!G71</f>
        <v>48</v>
      </c>
      <c r="D71" s="6">
        <f>'BUCS fees'!E71</f>
        <v>4</v>
      </c>
      <c r="E71" s="29" t="str">
        <f>IFERROR(VLOOKUP(A71, Travel!$A$2:$B$99, 2, FALSE), "")</f>
        <v/>
      </c>
      <c r="F71" s="6">
        <f>IFERROR(VLOOKUP(A71, Umpiring!$A$2:$C$100, 2, FALSE), "")</f>
        <v>-195</v>
      </c>
      <c r="G71" s="33">
        <f>'CUMHC Kit'!E71</f>
        <v>32.5</v>
      </c>
      <c r="H71" s="6">
        <f>IFERROR(VLOOKUP(A71, 'Saxon Order'!$A$2:$C$100, 2, FALSE), "")</f>
        <v>56.2</v>
      </c>
      <c r="I71" s="6" t="str">
        <f>IFERROR(VLOOKUP(A71, 'Y1 order'!$A$2:$D$100, 2, FALSE), "")</f>
        <v/>
      </c>
      <c r="J71" s="6"/>
      <c r="K71" s="30">
        <f t="shared" si="4"/>
        <v>-54.3</v>
      </c>
      <c r="L71" s="6"/>
      <c r="M71" s="3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28" t="s">
        <v>99</v>
      </c>
      <c r="B72" s="29" t="str">
        <f t="shared" si="8"/>
        <v/>
      </c>
      <c r="C72" s="6">
        <f>'League fees'!G72</f>
        <v>28</v>
      </c>
      <c r="D72" s="6">
        <f>'BUCS fees'!E72</f>
        <v>0</v>
      </c>
      <c r="E72" s="29" t="str">
        <f>IFERROR(VLOOKUP(A72, Travel!$A$2:$B$99, 2, FALSE), "")</f>
        <v/>
      </c>
      <c r="F72" s="6" t="str">
        <f>IFERROR(VLOOKUP(A72, Umpiring!$A$2:$C$100, 2, FALSE), "")</f>
        <v/>
      </c>
      <c r="G72" s="33">
        <f>'CUMHC Kit'!E72</f>
        <v>32.5</v>
      </c>
      <c r="H72" s="6" t="str">
        <f>IFERROR(VLOOKUP(A72, 'Saxon Order'!$A$2:$C$100, 2, FALSE), "")</f>
        <v/>
      </c>
      <c r="I72" s="6" t="str">
        <f>IFERROR(VLOOKUP(A72, 'Y1 order'!$A$2:$D$100, 2, FALSE), "")</f>
        <v/>
      </c>
      <c r="J72" s="6"/>
      <c r="K72" s="30">
        <f t="shared" si="4"/>
        <v>60.5</v>
      </c>
      <c r="L72" s="6"/>
      <c r="M72" s="3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28" t="s">
        <v>100</v>
      </c>
      <c r="B73" s="29" t="str">
        <f t="shared" si="8"/>
        <v/>
      </c>
      <c r="C73" s="6">
        <f>'League fees'!G73</f>
        <v>36</v>
      </c>
      <c r="D73" s="6">
        <f>'BUCS fees'!E73</f>
        <v>0</v>
      </c>
      <c r="E73" s="29" t="str">
        <f>IFERROR(VLOOKUP(A73, Travel!$A$2:$B$99, 2, FALSE), "")</f>
        <v/>
      </c>
      <c r="F73" s="6">
        <f>IFERROR(VLOOKUP(A73, Umpiring!$A$2:$C$100, 2, FALSE), "")</f>
        <v>-45</v>
      </c>
      <c r="G73" s="33">
        <f>'CUMHC Kit'!E73</f>
        <v>65</v>
      </c>
      <c r="H73" s="6" t="str">
        <f>IFERROR(VLOOKUP(A73, 'Saxon Order'!$A$2:$C$100, 2, FALSE), "")</f>
        <v/>
      </c>
      <c r="I73" s="6" t="str">
        <f>IFERROR(VLOOKUP(A73, 'Y1 order'!$A$2:$D$100, 2, FALSE), "")</f>
        <v/>
      </c>
      <c r="J73" s="6"/>
      <c r="K73" s="30">
        <f t="shared" si="4"/>
        <v>56</v>
      </c>
      <c r="L73" s="6"/>
      <c r="M73" s="3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28" t="s">
        <v>102</v>
      </c>
      <c r="B74" s="29" t="str">
        <f t="shared" si="8"/>
        <v/>
      </c>
      <c r="C74" s="6">
        <f>'League fees'!G74</f>
        <v>36</v>
      </c>
      <c r="D74" s="6">
        <f>'BUCS fees'!E74</f>
        <v>30</v>
      </c>
      <c r="E74" s="29" t="str">
        <f>IFERROR(VLOOKUP(A74, Travel!$A$2:$B$99, 2, FALSE), "")</f>
        <v/>
      </c>
      <c r="F74" s="6" t="str">
        <f>IFERROR(VLOOKUP(A74, Umpiring!$A$2:$C$100, 2, FALSE), "")</f>
        <v/>
      </c>
      <c r="G74" s="33">
        <f>'CUMHC Kit'!E74</f>
        <v>32.5</v>
      </c>
      <c r="H74" s="6" t="str">
        <f>IFERROR(VLOOKUP(A74, 'Saxon Order'!$A$2:$C$100, 2, FALSE), "")</f>
        <v/>
      </c>
      <c r="I74" s="6" t="str">
        <f>IFERROR(VLOOKUP(A74, 'Y1 order'!$A$2:$D$100, 2, FALSE), "")</f>
        <v/>
      </c>
      <c r="J74" s="6"/>
      <c r="K74" s="30">
        <f t="shared" si="4"/>
        <v>98.5</v>
      </c>
      <c r="L74" s="6"/>
      <c r="M74" s="3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28" t="s">
        <v>103</v>
      </c>
      <c r="B75" s="29" t="str">
        <f t="shared" si="8"/>
        <v/>
      </c>
      <c r="C75" s="6">
        <f>'League fees'!G75</f>
        <v>44</v>
      </c>
      <c r="D75" s="6">
        <f>'BUCS fees'!E75</f>
        <v>8</v>
      </c>
      <c r="E75" s="29" t="str">
        <f>IFERROR(VLOOKUP(A75, Travel!$A$2:$B$99, 2, FALSE), "")</f>
        <v/>
      </c>
      <c r="F75" s="6" t="str">
        <f>IFERROR(VLOOKUP(A75, Umpiring!$A$2:$C$100, 2, FALSE), "")</f>
        <v/>
      </c>
      <c r="G75" s="33">
        <f>'CUMHC Kit'!E75</f>
        <v>65</v>
      </c>
      <c r="H75" s="6" t="str">
        <f>IFERROR(VLOOKUP(A75, 'Saxon Order'!$A$2:$C$100, 2, FALSE), "")</f>
        <v/>
      </c>
      <c r="I75" s="6" t="str">
        <f>IFERROR(VLOOKUP(A75, 'Y1 order'!$A$2:$D$100, 2, FALSE), "")</f>
        <v/>
      </c>
      <c r="J75" s="6"/>
      <c r="K75" s="30">
        <f t="shared" si="4"/>
        <v>117</v>
      </c>
      <c r="L75" s="6"/>
      <c r="M75" s="3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28" t="s">
        <v>104</v>
      </c>
      <c r="B76" s="29">
        <f t="shared" si="8"/>
        <v>85</v>
      </c>
      <c r="C76" s="6">
        <f>'League fees'!G76</f>
        <v>12</v>
      </c>
      <c r="D76" s="6">
        <f>'BUCS fees'!E76</f>
        <v>0</v>
      </c>
      <c r="E76" s="29" t="str">
        <f>IFERROR(VLOOKUP(A76, Travel!$A$2:$B$99, 2, FALSE), "")</f>
        <v/>
      </c>
      <c r="F76" s="6" t="str">
        <f>IFERROR(VLOOKUP(A76, Umpiring!$A$2:$C$100, 2, FALSE), "")</f>
        <v/>
      </c>
      <c r="G76" s="33">
        <f>'CUMHC Kit'!E76</f>
        <v>32.5</v>
      </c>
      <c r="H76" s="6" t="str">
        <f>IFERROR(VLOOKUP(A76, 'Saxon Order'!$A$2:$C$100, 2, FALSE), "")</f>
        <v/>
      </c>
      <c r="I76" s="6" t="str">
        <f>IFERROR(VLOOKUP(A76, 'Y1 order'!$A$2:$D$100, 2, FALSE), "")</f>
        <v/>
      </c>
      <c r="J76" s="10">
        <v>4.0</v>
      </c>
      <c r="K76" s="30">
        <f t="shared" si="4"/>
        <v>133.5</v>
      </c>
      <c r="L76" s="10" t="s">
        <v>131</v>
      </c>
      <c r="M76" s="3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28" t="s">
        <v>106</v>
      </c>
      <c r="B77" s="29" t="str">
        <f t="shared" si="8"/>
        <v/>
      </c>
      <c r="C77" s="6">
        <f>'League fees'!G77</f>
        <v>28</v>
      </c>
      <c r="D77" s="6">
        <f>'BUCS fees'!E77</f>
        <v>20</v>
      </c>
      <c r="E77" s="29" t="str">
        <f>IFERROR(VLOOKUP(A77, Travel!$A$2:$B$99, 2, FALSE), "")</f>
        <v/>
      </c>
      <c r="F77" s="6" t="str">
        <f>IFERROR(VLOOKUP(A77, Umpiring!$A$2:$C$100, 2, FALSE), "")</f>
        <v/>
      </c>
      <c r="G77" s="33">
        <f>'CUMHC Kit'!E77</f>
        <v>0</v>
      </c>
      <c r="H77" s="6" t="str">
        <f>IFERROR(VLOOKUP(A77, 'Saxon Order'!$A$2:$C$100, 2, FALSE), "")</f>
        <v/>
      </c>
      <c r="I77" s="6" t="str">
        <f>IFERROR(VLOOKUP(A77, 'Y1 order'!$A$2:$D$100, 2, FALSE), "")</f>
        <v/>
      </c>
      <c r="J77" s="6"/>
      <c r="K77" s="30">
        <f t="shared" si="4"/>
        <v>48</v>
      </c>
      <c r="L77" s="6"/>
      <c r="M77" s="3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28" t="s">
        <v>107</v>
      </c>
      <c r="B78" s="29" t="str">
        <f t="shared" si="8"/>
        <v/>
      </c>
      <c r="C78" s="6">
        <f>'League fees'!G78</f>
        <v>36</v>
      </c>
      <c r="D78" s="6">
        <f>'BUCS fees'!E78</f>
        <v>0</v>
      </c>
      <c r="E78" s="29" t="str">
        <f>IFERROR(VLOOKUP(A78, Travel!$A$2:$B$99, 2, FALSE), "")</f>
        <v/>
      </c>
      <c r="F78" s="6" t="str">
        <f>IFERROR(VLOOKUP(A78, Umpiring!$A$2:$C$100, 2, FALSE), "")</f>
        <v/>
      </c>
      <c r="G78" s="33">
        <f>'CUMHC Kit'!E78</f>
        <v>32.5</v>
      </c>
      <c r="H78" s="6" t="str">
        <f>IFERROR(VLOOKUP(A78, 'Saxon Order'!$A$2:$C$100, 2, FALSE), "")</f>
        <v/>
      </c>
      <c r="I78" s="6" t="str">
        <f>IFERROR(VLOOKUP(A78, 'Y1 order'!$A$2:$D$100, 2, FALSE), "")</f>
        <v/>
      </c>
      <c r="J78" s="6"/>
      <c r="K78" s="30">
        <f t="shared" si="4"/>
        <v>68.5</v>
      </c>
      <c r="L78" s="6"/>
      <c r="M78" s="3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28" t="s">
        <v>108</v>
      </c>
      <c r="B79" s="29" t="str">
        <f t="shared" si="8"/>
        <v/>
      </c>
      <c r="C79" s="6">
        <f>'League fees'!G79</f>
        <v>36</v>
      </c>
      <c r="D79" s="6">
        <f>'BUCS fees'!E79</f>
        <v>0</v>
      </c>
      <c r="E79" s="29" t="str">
        <f>IFERROR(VLOOKUP(A79, Travel!$A$2:$B$99, 2, FALSE), "")</f>
        <v/>
      </c>
      <c r="F79" s="6" t="str">
        <f>IFERROR(VLOOKUP(A79, Umpiring!$A$2:$C$100, 2, FALSE), "")</f>
        <v/>
      </c>
      <c r="G79" s="33">
        <f>'CUMHC Kit'!E79</f>
        <v>32.5</v>
      </c>
      <c r="H79" s="6" t="str">
        <f>IFERROR(VLOOKUP(A79, 'Saxon Order'!$A$2:$C$100, 2, FALSE), "")</f>
        <v/>
      </c>
      <c r="I79" s="6" t="str">
        <f>IFERROR(VLOOKUP(A79, 'Y1 order'!$A$2:$D$100, 2, FALSE), "")</f>
        <v/>
      </c>
      <c r="J79" s="6"/>
      <c r="K79" s="30">
        <f t="shared" si="4"/>
        <v>68.5</v>
      </c>
      <c r="L79" s="6"/>
      <c r="M79" s="3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28" t="s">
        <v>109</v>
      </c>
      <c r="B80" s="29">
        <f t="shared" si="8"/>
        <v>85</v>
      </c>
      <c r="C80" s="6">
        <f>'League fees'!G80</f>
        <v>32</v>
      </c>
      <c r="D80" s="6">
        <f>'BUCS fees'!E80</f>
        <v>0</v>
      </c>
      <c r="E80" s="29" t="str">
        <f>IFERROR(VLOOKUP(A80, Travel!$A$2:$B$99, 2, FALSE), "")</f>
        <v/>
      </c>
      <c r="F80" s="6" t="str">
        <f>IFERROR(VLOOKUP(A80, Umpiring!$A$2:$C$100, 2, FALSE), "")</f>
        <v/>
      </c>
      <c r="G80" s="33">
        <f>'CUMHC Kit'!E80</f>
        <v>87</v>
      </c>
      <c r="H80" s="6" t="str">
        <f>IFERROR(VLOOKUP(A80, 'Saxon Order'!$A$2:$C$100, 2, FALSE), "")</f>
        <v/>
      </c>
      <c r="I80" s="6" t="str">
        <f>IFERROR(VLOOKUP(A80, 'Y1 order'!$A$2:$D$100, 2, FALSE), "")</f>
        <v/>
      </c>
      <c r="J80" s="6"/>
      <c r="K80" s="30">
        <f t="shared" si="4"/>
        <v>204</v>
      </c>
      <c r="L80" s="6"/>
      <c r="M80" s="3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28" t="s">
        <v>111</v>
      </c>
      <c r="B81" s="29"/>
      <c r="C81" s="6">
        <f>'League fees'!G81</f>
        <v>4</v>
      </c>
      <c r="D81" s="6">
        <f>'BUCS fees'!E81</f>
        <v>0</v>
      </c>
      <c r="E81" s="29" t="str">
        <f>IFERROR(VLOOKUP(A81, Travel!$A$2:$B$99, 2, FALSE), "")</f>
        <v/>
      </c>
      <c r="F81" s="6" t="str">
        <f>IFERROR(VLOOKUP(A81, Umpiring!$A$2:$C$100, 2, FALSE), "")</f>
        <v/>
      </c>
      <c r="G81" s="33">
        <f>'CUMHC Kit'!E81</f>
        <v>32.5</v>
      </c>
      <c r="H81" s="6" t="str">
        <f>IFERROR(VLOOKUP(A81, 'Saxon Order'!$A$2:$C$100, 2, FALSE), "")</f>
        <v/>
      </c>
      <c r="I81" s="6" t="str">
        <f>IFERROR(VLOOKUP(A81, 'Y1 order'!$A$2:$D$100, 2, FALSE), "")</f>
        <v/>
      </c>
      <c r="J81" s="10">
        <v>-4.0</v>
      </c>
      <c r="K81" s="30">
        <f t="shared" si="4"/>
        <v>32.5</v>
      </c>
      <c r="L81" s="10" t="s">
        <v>138</v>
      </c>
      <c r="M81" s="3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28" t="s">
        <v>112</v>
      </c>
      <c r="B82" s="29">
        <f t="shared" ref="B82:B83" si="9">IF(ISNUMBER(MATCH(A82, $N$2:$N$99, 0)), "", 85)</f>
        <v>85</v>
      </c>
      <c r="C82" s="6">
        <f>'League fees'!G82</f>
        <v>4</v>
      </c>
      <c r="D82" s="6">
        <f>'BUCS fees'!E82</f>
        <v>0</v>
      </c>
      <c r="E82" s="29" t="str">
        <f>IFERROR(VLOOKUP(A82, Travel!$A$2:$B$99, 2, FALSE), "")</f>
        <v/>
      </c>
      <c r="F82" s="6" t="str">
        <f>IFERROR(VLOOKUP(A82, Umpiring!$A$2:$C$100, 2, FALSE), "")</f>
        <v/>
      </c>
      <c r="G82" s="33">
        <f>'CUMHC Kit'!E82</f>
        <v>32.5</v>
      </c>
      <c r="H82" s="6" t="str">
        <f>IFERROR(VLOOKUP(A82, 'Saxon Order'!$A$2:$C$100, 2, FALSE), "")</f>
        <v/>
      </c>
      <c r="I82" s="6" t="str">
        <f>IFERROR(VLOOKUP(A82, 'Y1 order'!$A$2:$D$100, 2, FALSE), "")</f>
        <v/>
      </c>
      <c r="J82" s="6"/>
      <c r="K82" s="30">
        <f t="shared" si="4"/>
        <v>121.5</v>
      </c>
      <c r="L82" s="6"/>
      <c r="M82" s="3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28" t="s">
        <v>113</v>
      </c>
      <c r="B83" s="29" t="str">
        <f t="shared" si="9"/>
        <v/>
      </c>
      <c r="C83" s="6">
        <f>'League fees'!G83</f>
        <v>28</v>
      </c>
      <c r="D83" s="6">
        <f>'BUCS fees'!E83</f>
        <v>15</v>
      </c>
      <c r="E83" s="29">
        <f>IFERROR(VLOOKUP(A83, Travel!$A$2:$B$99, 2, FALSE), "")</f>
        <v>-162.6</v>
      </c>
      <c r="F83" s="6">
        <f>IFERROR(VLOOKUP(A83, Umpiring!$A$2:$C$100, 2, FALSE), "")</f>
        <v>-75</v>
      </c>
      <c r="G83" s="33">
        <f>'CUMHC Kit'!E83</f>
        <v>65</v>
      </c>
      <c r="H83" s="6" t="str">
        <f>IFERROR(VLOOKUP(A83, 'Saxon Order'!$A$2:$C$100, 2, FALSE), "")</f>
        <v/>
      </c>
      <c r="I83" s="6" t="str">
        <f>IFERROR(VLOOKUP(A83, 'Y1 order'!$A$2:$D$100, 2, FALSE), "")</f>
        <v/>
      </c>
      <c r="J83" s="6"/>
      <c r="K83" s="30">
        <f t="shared" si="4"/>
        <v>-129.6</v>
      </c>
      <c r="L83" s="6"/>
      <c r="M83" s="3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28" t="s">
        <v>114</v>
      </c>
      <c r="B84" s="29"/>
      <c r="C84" s="6">
        <f>'League fees'!G84</f>
        <v>4</v>
      </c>
      <c r="D84" s="6">
        <f>'BUCS fees'!E84</f>
        <v>0</v>
      </c>
      <c r="E84" s="29" t="str">
        <f>IFERROR(VLOOKUP(A84, Travel!$A$2:$B$99, 2, FALSE), "")</f>
        <v/>
      </c>
      <c r="F84" s="6" t="str">
        <f>IFERROR(VLOOKUP(A84, Umpiring!$A$2:$C$100, 2, FALSE), "")</f>
        <v/>
      </c>
      <c r="G84" s="33">
        <f>'CUMHC Kit'!E84</f>
        <v>0</v>
      </c>
      <c r="H84" s="6" t="str">
        <f>IFERROR(VLOOKUP(A84, 'Saxon Order'!$A$2:$C$100, 2, FALSE), "")</f>
        <v/>
      </c>
      <c r="I84" s="6" t="str">
        <f>IFERROR(VLOOKUP(A84, 'Y1 order'!$A$2:$D$100, 2, FALSE), "")</f>
        <v/>
      </c>
      <c r="J84" s="10">
        <v>-4.0</v>
      </c>
      <c r="K84" s="30">
        <f t="shared" si="4"/>
        <v>0</v>
      </c>
      <c r="L84" s="10" t="s">
        <v>138</v>
      </c>
      <c r="M84" s="3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28" t="s">
        <v>115</v>
      </c>
      <c r="B85" s="29" t="str">
        <f t="shared" ref="B85:B86" si="10">IF(ISNUMBER(MATCH(A85, $N$2:$N$99, 0)), "", 85)</f>
        <v/>
      </c>
      <c r="C85" s="6">
        <f>'League fees'!G85</f>
        <v>36</v>
      </c>
      <c r="D85" s="6">
        <f>'BUCS fees'!E85</f>
        <v>20</v>
      </c>
      <c r="E85" s="29" t="str">
        <f>IFERROR(VLOOKUP(A85, Travel!$A$2:$B$99, 2, FALSE), "")</f>
        <v/>
      </c>
      <c r="F85" s="6" t="str">
        <f>IFERROR(VLOOKUP(A85, Umpiring!$A$2:$C$100, 2, FALSE), "")</f>
        <v/>
      </c>
      <c r="G85" s="33">
        <f>'CUMHC Kit'!E85</f>
        <v>32.5</v>
      </c>
      <c r="H85" s="6" t="str">
        <f>IFERROR(VLOOKUP(A85, 'Saxon Order'!$A$2:$C$100, 2, FALSE), "")</f>
        <v/>
      </c>
      <c r="I85" s="6" t="str">
        <f>IFERROR(VLOOKUP(A85, 'Y1 order'!$A$2:$D$100, 2, FALSE), "")</f>
        <v/>
      </c>
      <c r="J85" s="6"/>
      <c r="K85" s="30">
        <f t="shared" si="4"/>
        <v>88.5</v>
      </c>
      <c r="L85" s="6"/>
      <c r="M85" s="3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28" t="s">
        <v>116</v>
      </c>
      <c r="B86" s="29" t="str">
        <f t="shared" si="10"/>
        <v/>
      </c>
      <c r="C86" s="6">
        <f>'League fees'!G86</f>
        <v>40</v>
      </c>
      <c r="D86" s="6">
        <f>'BUCS fees'!E86</f>
        <v>0</v>
      </c>
      <c r="E86" s="29" t="str">
        <f>IFERROR(VLOOKUP(A86, Travel!$A$2:$B$99, 2, FALSE), "")</f>
        <v/>
      </c>
      <c r="F86" s="6" t="str">
        <f>IFERROR(VLOOKUP(A86, Umpiring!$A$2:$C$100, 2, FALSE), "")</f>
        <v/>
      </c>
      <c r="G86" s="6" t="str">
        <f>'CUMHC Kit'!E86</f>
        <v/>
      </c>
      <c r="H86" s="6" t="str">
        <f>IFERROR(VLOOKUP(A86, 'Saxon Order'!$A$2:$C$100, 2, FALSE), "")</f>
        <v/>
      </c>
      <c r="I86" s="6">
        <f>IFERROR(VLOOKUP(A86, 'Y1 order'!$A$2:$D$100, 2, FALSE), "")</f>
        <v>37.99</v>
      </c>
      <c r="J86" s="6"/>
      <c r="K86" s="30">
        <f t="shared" si="4"/>
        <v>77.99</v>
      </c>
      <c r="L86" s="6"/>
      <c r="M86" s="3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3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20" t="s">
        <v>28</v>
      </c>
      <c r="B88" s="4">
        <f t="shared" ref="B88:K88" si="11">SUM(B2:B86)</f>
        <v>2890</v>
      </c>
      <c r="C88" s="4">
        <f t="shared" si="11"/>
        <v>2780</v>
      </c>
      <c r="D88" s="4">
        <f t="shared" si="11"/>
        <v>828</v>
      </c>
      <c r="E88" s="4">
        <f t="shared" si="11"/>
        <v>-924.67</v>
      </c>
      <c r="F88" s="4">
        <f t="shared" si="11"/>
        <v>-795</v>
      </c>
      <c r="G88" s="4">
        <f t="shared" si="11"/>
        <v>3756</v>
      </c>
      <c r="H88" s="4">
        <f t="shared" si="11"/>
        <v>1011.6</v>
      </c>
      <c r="I88" s="4">
        <f t="shared" si="11"/>
        <v>189.95</v>
      </c>
      <c r="J88" s="4">
        <f t="shared" si="11"/>
        <v>-242.5</v>
      </c>
      <c r="K88" s="4">
        <f t="shared" si="11"/>
        <v>9493.38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3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20" t="s">
        <v>139</v>
      </c>
      <c r="H90" s="4">
        <f>H88+I88</f>
        <v>1201.55</v>
      </c>
      <c r="I90" s="4"/>
      <c r="J90" s="4"/>
      <c r="K90" s="3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3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3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3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3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3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3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3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3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3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3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3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3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3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3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3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3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3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3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3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3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3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3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3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3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3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3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3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3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3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3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3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3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3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3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3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3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3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3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3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3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3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3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3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3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3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3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3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3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3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3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3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3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3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3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3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3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3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3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3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3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3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3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3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3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3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3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3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3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3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3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3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3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3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3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3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3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3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3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3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3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3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3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3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3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3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3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3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3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3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3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3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3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3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3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3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3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3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3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3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3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3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3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3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3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3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3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3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3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3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3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3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3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3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3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3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3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3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3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3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3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3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3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3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3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3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3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3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3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3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3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3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3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3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3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3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3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3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3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3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3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3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3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3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3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3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3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3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3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3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3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3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3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3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3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3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3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3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3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3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3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3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3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3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3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3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3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3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3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3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3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3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3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3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3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3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3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3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3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3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3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3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3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3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3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3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3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3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3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3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3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3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3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3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3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3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3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3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3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3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3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3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3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3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3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3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3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3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3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3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3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3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3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3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3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3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3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3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3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3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3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3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3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3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3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3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3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3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3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3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3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3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3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3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3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3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3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3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3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3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3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3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3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3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3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3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3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3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3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3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3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3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3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3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3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3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3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3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3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3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3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3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3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3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3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3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3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3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3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3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3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3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3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3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3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3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3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3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3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3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3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3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3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3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3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3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3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3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3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3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3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3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3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3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3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3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3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3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3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3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3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3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3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3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3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3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3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3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3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3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3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37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37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37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37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37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37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37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37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37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37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37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37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37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37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37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37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37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37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37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37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37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37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37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37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37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37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37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37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37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37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37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37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37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37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37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37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37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37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37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37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37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37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37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37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37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37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37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37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37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37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37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37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37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37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37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37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37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37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37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37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37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37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37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37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37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37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37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37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37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37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37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37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37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37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37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37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37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37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37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37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37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37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37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37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37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37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37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37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37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37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37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37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37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37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37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37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37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37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37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37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37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37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3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3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3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3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3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3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3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3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3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3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3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3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3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3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3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3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3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3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3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3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3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3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3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3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3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3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3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3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3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3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3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3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3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3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3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3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3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3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3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3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3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3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3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3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3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3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3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3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3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3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3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3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3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3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3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3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3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3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3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3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3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3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3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3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3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3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3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3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3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3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3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3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3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3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3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3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3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3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3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3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3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3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3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3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3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3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3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3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3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3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3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3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3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3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3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3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3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3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3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3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3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3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3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3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3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3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3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3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3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3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3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3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3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3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3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3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3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3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3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3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3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3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3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3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3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3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3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3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3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3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3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3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3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3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3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3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3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3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3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3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3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3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3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3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3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3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3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3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3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3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3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3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3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3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3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3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3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3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3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3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3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3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3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3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3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3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3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3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3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3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3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3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3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3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3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3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3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3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3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3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3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3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3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3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3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3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3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3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3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3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3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3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3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3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3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3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3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3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3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3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3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3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3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3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3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3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3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3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3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3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3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3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3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3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3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3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3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3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3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3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3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3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3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3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3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3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3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3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3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3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3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3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3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3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3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3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3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3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3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3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3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3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3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3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3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3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3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3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3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3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3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3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3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3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3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3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3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3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3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3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3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3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3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3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3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3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3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3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3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3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3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3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3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3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3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3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3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3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3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3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3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3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3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3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3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3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3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3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3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3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3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3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3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3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3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3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3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3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3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3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3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3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3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3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3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3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3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3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3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3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3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3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3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3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3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3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3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3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3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3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3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3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3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3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3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3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3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3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3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3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3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3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3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3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3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3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3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3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3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3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3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3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3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3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3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3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3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3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3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3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3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3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3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3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3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3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3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3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3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3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3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3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3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3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3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3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3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3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3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3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3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3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3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3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3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3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3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3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3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3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3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3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3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3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3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3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3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3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3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3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3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3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3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3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3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3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3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3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3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3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3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3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3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3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3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3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3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3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3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3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37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37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37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37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37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37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37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37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37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37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37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37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37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37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37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37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37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37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37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37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37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37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37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37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37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37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37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37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37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37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37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37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37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37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37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37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37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37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37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37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37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37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37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37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37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37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37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37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37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37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37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37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37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37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37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37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37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37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37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37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38"/>
      <c r="B973" s="4"/>
      <c r="C973" s="4"/>
      <c r="D973" s="4"/>
      <c r="E973" s="4"/>
      <c r="F973" s="4"/>
      <c r="G973" s="4"/>
      <c r="H973" s="4"/>
      <c r="I973" s="4"/>
      <c r="J973" s="4"/>
      <c r="K973" s="37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38"/>
      <c r="B974" s="4"/>
      <c r="C974" s="4"/>
      <c r="D974" s="4"/>
      <c r="E974" s="4"/>
      <c r="F974" s="4"/>
      <c r="G974" s="4"/>
      <c r="H974" s="4"/>
      <c r="I974" s="4"/>
      <c r="J974" s="4"/>
      <c r="K974" s="37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38"/>
      <c r="B975" s="4"/>
      <c r="C975" s="4"/>
      <c r="D975" s="4"/>
      <c r="E975" s="4"/>
      <c r="F975" s="4"/>
      <c r="G975" s="4"/>
      <c r="H975" s="4"/>
      <c r="I975" s="4"/>
      <c r="J975" s="4"/>
      <c r="K975" s="37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38"/>
      <c r="B976" s="4"/>
      <c r="C976" s="4"/>
      <c r="D976" s="4"/>
      <c r="E976" s="4"/>
      <c r="F976" s="4"/>
      <c r="G976" s="4"/>
      <c r="H976" s="4"/>
      <c r="I976" s="4"/>
      <c r="J976" s="4"/>
      <c r="K976" s="37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38"/>
      <c r="B977" s="4"/>
      <c r="C977" s="4"/>
      <c r="D977" s="4"/>
      <c r="E977" s="4"/>
      <c r="F977" s="4"/>
      <c r="G977" s="4"/>
      <c r="H977" s="4"/>
      <c r="I977" s="4"/>
      <c r="J977" s="4"/>
      <c r="K977" s="37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38"/>
      <c r="B978" s="4"/>
      <c r="C978" s="4"/>
      <c r="D978" s="4"/>
      <c r="E978" s="4"/>
      <c r="F978" s="4"/>
      <c r="G978" s="4"/>
      <c r="H978" s="4"/>
      <c r="I978" s="4"/>
      <c r="J978" s="4"/>
      <c r="K978" s="37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38"/>
      <c r="B979" s="4"/>
      <c r="C979" s="4"/>
      <c r="D979" s="4"/>
      <c r="E979" s="4"/>
      <c r="F979" s="4"/>
      <c r="G979" s="4"/>
      <c r="H979" s="4"/>
      <c r="I979" s="4"/>
      <c r="J979" s="4"/>
      <c r="K979" s="37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38"/>
      <c r="B980" s="4"/>
      <c r="C980" s="4"/>
      <c r="D980" s="4"/>
      <c r="E980" s="4"/>
      <c r="F980" s="4"/>
      <c r="G980" s="4"/>
      <c r="H980" s="4"/>
      <c r="I980" s="4"/>
      <c r="J980" s="4"/>
      <c r="K980" s="37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38"/>
      <c r="B981" s="4"/>
      <c r="C981" s="4"/>
      <c r="D981" s="4"/>
      <c r="E981" s="4"/>
      <c r="F981" s="4"/>
      <c r="G981" s="4"/>
      <c r="H981" s="4"/>
      <c r="I981" s="4"/>
      <c r="J981" s="4"/>
      <c r="K981" s="37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38"/>
      <c r="B982" s="4"/>
      <c r="C982" s="4"/>
      <c r="D982" s="4"/>
      <c r="E982" s="4"/>
      <c r="F982" s="4"/>
      <c r="G982" s="4"/>
      <c r="H982" s="4"/>
      <c r="I982" s="4"/>
      <c r="J982" s="4"/>
      <c r="K982" s="37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38"/>
      <c r="B983" s="4"/>
      <c r="C983" s="4"/>
      <c r="D983" s="4"/>
      <c r="E983" s="4"/>
      <c r="F983" s="4"/>
      <c r="G983" s="4"/>
      <c r="H983" s="4"/>
      <c r="I983" s="4"/>
      <c r="J983" s="4"/>
      <c r="K983" s="37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38"/>
      <c r="B984" s="4"/>
      <c r="C984" s="4"/>
      <c r="D984" s="4"/>
      <c r="E984" s="4"/>
      <c r="F984" s="4"/>
      <c r="G984" s="4"/>
      <c r="H984" s="4"/>
      <c r="I984" s="4"/>
      <c r="J984" s="4"/>
      <c r="K984" s="37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38"/>
      <c r="B985" s="4"/>
      <c r="C985" s="4"/>
      <c r="D985" s="4"/>
      <c r="E985" s="4"/>
      <c r="F985" s="4"/>
      <c r="G985" s="4"/>
      <c r="H985" s="4"/>
      <c r="I985" s="4"/>
      <c r="J985" s="4"/>
      <c r="K985" s="37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38"/>
      <c r="B986" s="4"/>
      <c r="C986" s="4"/>
      <c r="D986" s="4"/>
      <c r="E986" s="4"/>
      <c r="F986" s="4"/>
      <c r="G986" s="4"/>
      <c r="H986" s="4"/>
      <c r="I986" s="4"/>
      <c r="J986" s="4"/>
      <c r="K986" s="37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38"/>
      <c r="B987" s="4"/>
      <c r="C987" s="4"/>
      <c r="D987" s="4"/>
      <c r="E987" s="4"/>
      <c r="F987" s="4"/>
      <c r="G987" s="4"/>
      <c r="H987" s="4"/>
      <c r="I987" s="4"/>
      <c r="J987" s="4"/>
      <c r="K987" s="37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38"/>
      <c r="B988" s="4"/>
      <c r="C988" s="4"/>
      <c r="D988" s="4"/>
      <c r="E988" s="4"/>
      <c r="F988" s="4"/>
      <c r="G988" s="4"/>
      <c r="H988" s="4"/>
      <c r="I988" s="4"/>
      <c r="J988" s="4"/>
      <c r="K988" s="37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38"/>
      <c r="B989" s="4"/>
      <c r="C989" s="4"/>
      <c r="D989" s="4"/>
      <c r="E989" s="4"/>
      <c r="F989" s="4"/>
      <c r="G989" s="4"/>
      <c r="H989" s="4"/>
      <c r="I989" s="4"/>
      <c r="J989" s="4"/>
      <c r="K989" s="37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38"/>
      <c r="B990" s="4"/>
      <c r="C990" s="4"/>
      <c r="D990" s="4"/>
      <c r="E990" s="4"/>
      <c r="F990" s="4"/>
      <c r="G990" s="4"/>
      <c r="H990" s="4"/>
      <c r="I990" s="4"/>
      <c r="J990" s="4"/>
      <c r="K990" s="37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37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37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37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37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37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37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37"/>
      <c r="L997" s="4"/>
      <c r="M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4.38"/>
    <col customWidth="1" min="3" max="3" width="16.88"/>
    <col customWidth="1" min="4" max="4" width="18.63"/>
    <col customWidth="1" min="5" max="5" width="17.13"/>
    <col customWidth="1" min="6" max="6" width="32.5"/>
    <col customWidth="1" min="7" max="7" width="15.75"/>
  </cols>
  <sheetData>
    <row r="1">
      <c r="A1" s="39" t="s">
        <v>140</v>
      </c>
      <c r="B1" s="39" t="s">
        <v>141</v>
      </c>
      <c r="C1" s="39" t="s">
        <v>142</v>
      </c>
      <c r="D1" s="39" t="s">
        <v>143</v>
      </c>
      <c r="E1" s="39" t="s">
        <v>144</v>
      </c>
      <c r="F1" s="39" t="s">
        <v>145</v>
      </c>
      <c r="G1" s="40" t="s">
        <v>146</v>
      </c>
    </row>
    <row r="2">
      <c r="A2" s="41" t="s">
        <v>4</v>
      </c>
      <c r="B2" s="42">
        <v>0.0</v>
      </c>
      <c r="C2" s="42">
        <v>0.0</v>
      </c>
      <c r="D2" s="42">
        <v>1.0</v>
      </c>
      <c r="E2" s="42">
        <v>3.0</v>
      </c>
      <c r="F2" s="43">
        <v>4.0</v>
      </c>
      <c r="G2" s="44">
        <f t="shared" ref="G2:G86" si="1">(F2*4)</f>
        <v>16</v>
      </c>
    </row>
    <row r="3">
      <c r="A3" s="41" t="s">
        <v>6</v>
      </c>
      <c r="B3" s="42">
        <v>0.0</v>
      </c>
      <c r="C3" s="42">
        <v>0.0</v>
      </c>
      <c r="D3" s="42">
        <v>2.0</v>
      </c>
      <c r="E3" s="42">
        <v>6.0</v>
      </c>
      <c r="F3" s="43">
        <v>8.0</v>
      </c>
      <c r="G3" s="44">
        <f t="shared" si="1"/>
        <v>32</v>
      </c>
    </row>
    <row r="4">
      <c r="A4" s="41" t="s">
        <v>8</v>
      </c>
      <c r="B4" s="42">
        <v>0.0</v>
      </c>
      <c r="C4" s="42">
        <v>0.0</v>
      </c>
      <c r="D4" s="42">
        <v>0.0</v>
      </c>
      <c r="E4" s="42">
        <v>3.0</v>
      </c>
      <c r="F4" s="43">
        <v>3.0</v>
      </c>
      <c r="G4" s="44">
        <f t="shared" si="1"/>
        <v>12</v>
      </c>
    </row>
    <row r="5">
      <c r="A5" s="41" t="s">
        <v>11</v>
      </c>
      <c r="B5" s="42">
        <v>0.0</v>
      </c>
      <c r="C5" s="42">
        <v>0.0</v>
      </c>
      <c r="D5" s="42">
        <v>0.0</v>
      </c>
      <c r="E5" s="42">
        <v>2.0</v>
      </c>
      <c r="F5" s="43">
        <v>2.0</v>
      </c>
      <c r="G5" s="44">
        <f t="shared" si="1"/>
        <v>8</v>
      </c>
    </row>
    <row r="6">
      <c r="A6" s="41" t="s">
        <v>13</v>
      </c>
      <c r="B6" s="42">
        <v>12.0</v>
      </c>
      <c r="C6" s="42">
        <v>0.0</v>
      </c>
      <c r="D6" s="42">
        <v>0.0</v>
      </c>
      <c r="E6" s="42">
        <v>0.0</v>
      </c>
      <c r="F6" s="43">
        <v>12.0</v>
      </c>
      <c r="G6" s="44">
        <f t="shared" si="1"/>
        <v>48</v>
      </c>
    </row>
    <row r="7">
      <c r="A7" s="41" t="s">
        <v>16</v>
      </c>
      <c r="B7" s="42">
        <v>2.0</v>
      </c>
      <c r="C7" s="42">
        <v>5.0</v>
      </c>
      <c r="D7" s="42">
        <v>0.0</v>
      </c>
      <c r="E7" s="42">
        <v>0.0</v>
      </c>
      <c r="F7" s="43">
        <v>7.0</v>
      </c>
      <c r="G7" s="44">
        <f t="shared" si="1"/>
        <v>28</v>
      </c>
    </row>
    <row r="8">
      <c r="A8" s="41" t="s">
        <v>19</v>
      </c>
      <c r="B8" s="42">
        <v>0.0</v>
      </c>
      <c r="C8" s="42">
        <v>0.0</v>
      </c>
      <c r="D8" s="42">
        <v>7.0</v>
      </c>
      <c r="E8" s="42">
        <v>1.0</v>
      </c>
      <c r="F8" s="43">
        <v>8.0</v>
      </c>
      <c r="G8" s="44">
        <f t="shared" si="1"/>
        <v>32</v>
      </c>
    </row>
    <row r="9">
      <c r="A9" s="41" t="s">
        <v>22</v>
      </c>
      <c r="B9" s="42">
        <v>0.0</v>
      </c>
      <c r="C9" s="42">
        <v>2.0</v>
      </c>
      <c r="D9" s="42">
        <v>11.0</v>
      </c>
      <c r="E9" s="42">
        <v>0.0</v>
      </c>
      <c r="F9" s="43">
        <v>13.0</v>
      </c>
      <c r="G9" s="44">
        <f t="shared" si="1"/>
        <v>52</v>
      </c>
    </row>
    <row r="10">
      <c r="A10" s="41" t="s">
        <v>24</v>
      </c>
      <c r="B10" s="42">
        <v>0.0</v>
      </c>
      <c r="C10" s="42">
        <v>10.0</v>
      </c>
      <c r="D10" s="42">
        <v>0.0</v>
      </c>
      <c r="E10" s="42">
        <v>0.0</v>
      </c>
      <c r="F10" s="43">
        <v>10.0</v>
      </c>
      <c r="G10" s="44">
        <f t="shared" si="1"/>
        <v>40</v>
      </c>
    </row>
    <row r="11">
      <c r="A11" s="41" t="s">
        <v>25</v>
      </c>
      <c r="B11" s="42">
        <v>0.0</v>
      </c>
      <c r="C11" s="42">
        <v>0.0</v>
      </c>
      <c r="D11" s="42">
        <v>0.0</v>
      </c>
      <c r="E11" s="42">
        <v>4.0</v>
      </c>
      <c r="F11" s="43">
        <v>4.0</v>
      </c>
      <c r="G11" s="44">
        <f t="shared" si="1"/>
        <v>16</v>
      </c>
    </row>
    <row r="12">
      <c r="A12" s="41" t="s">
        <v>27</v>
      </c>
      <c r="B12" s="42">
        <v>0.0</v>
      </c>
      <c r="C12" s="42">
        <v>0.0</v>
      </c>
      <c r="D12" s="42">
        <v>0.0</v>
      </c>
      <c r="E12" s="42">
        <v>12.0</v>
      </c>
      <c r="F12" s="43">
        <v>12.0</v>
      </c>
      <c r="G12" s="44">
        <f t="shared" si="1"/>
        <v>48</v>
      </c>
    </row>
    <row r="13">
      <c r="A13" s="41" t="s">
        <v>29</v>
      </c>
      <c r="B13" s="42">
        <v>0.0</v>
      </c>
      <c r="C13" s="42">
        <v>5.0</v>
      </c>
      <c r="D13" s="42">
        <v>0.0</v>
      </c>
      <c r="E13" s="42">
        <v>0.0</v>
      </c>
      <c r="F13" s="43">
        <v>5.0</v>
      </c>
      <c r="G13" s="44">
        <f t="shared" si="1"/>
        <v>20</v>
      </c>
    </row>
    <row r="14">
      <c r="A14" s="41" t="s">
        <v>31</v>
      </c>
      <c r="B14" s="42">
        <v>0.0</v>
      </c>
      <c r="C14" s="42">
        <v>0.0</v>
      </c>
      <c r="D14" s="42">
        <v>0.0</v>
      </c>
      <c r="E14" s="42">
        <v>0.0</v>
      </c>
      <c r="F14" s="43">
        <v>0.0</v>
      </c>
      <c r="G14" s="44">
        <f t="shared" si="1"/>
        <v>0</v>
      </c>
    </row>
    <row r="15">
      <c r="A15" s="41" t="s">
        <v>33</v>
      </c>
      <c r="B15" s="42">
        <v>0.0</v>
      </c>
      <c r="C15" s="42">
        <v>0.0</v>
      </c>
      <c r="D15" s="42">
        <v>0.0</v>
      </c>
      <c r="E15" s="42">
        <v>8.0</v>
      </c>
      <c r="F15" s="43">
        <v>8.0</v>
      </c>
      <c r="G15" s="44">
        <f t="shared" si="1"/>
        <v>32</v>
      </c>
    </row>
    <row r="16">
      <c r="A16" s="41" t="s">
        <v>35</v>
      </c>
      <c r="B16" s="42">
        <v>0.0</v>
      </c>
      <c r="C16" s="42">
        <v>0.0</v>
      </c>
      <c r="D16" s="42">
        <v>5.0</v>
      </c>
      <c r="E16" s="42">
        <v>0.0</v>
      </c>
      <c r="F16" s="43">
        <v>5.0</v>
      </c>
      <c r="G16" s="44">
        <f t="shared" si="1"/>
        <v>20</v>
      </c>
    </row>
    <row r="17">
      <c r="A17" s="41" t="s">
        <v>37</v>
      </c>
      <c r="B17" s="42">
        <v>12.0</v>
      </c>
      <c r="C17" s="42">
        <v>0.0</v>
      </c>
      <c r="D17" s="42">
        <v>0.0</v>
      </c>
      <c r="E17" s="42">
        <v>0.0</v>
      </c>
      <c r="F17" s="43">
        <v>12.0</v>
      </c>
      <c r="G17" s="44">
        <f t="shared" si="1"/>
        <v>48</v>
      </c>
    </row>
    <row r="18">
      <c r="A18" s="41" t="s">
        <v>39</v>
      </c>
      <c r="B18" s="42">
        <v>0.0</v>
      </c>
      <c r="C18" s="42">
        <v>10.0</v>
      </c>
      <c r="D18" s="42">
        <v>0.0</v>
      </c>
      <c r="E18" s="42">
        <v>0.0</v>
      </c>
      <c r="F18" s="43">
        <v>10.0</v>
      </c>
      <c r="G18" s="44">
        <f t="shared" si="1"/>
        <v>40</v>
      </c>
    </row>
    <row r="19">
      <c r="A19" s="41" t="s">
        <v>40</v>
      </c>
      <c r="B19" s="42">
        <v>0.0</v>
      </c>
      <c r="C19" s="42">
        <v>0.0</v>
      </c>
      <c r="D19" s="42">
        <v>11.0</v>
      </c>
      <c r="E19" s="42">
        <v>0.0</v>
      </c>
      <c r="F19" s="43">
        <v>11.0</v>
      </c>
      <c r="G19" s="44">
        <f t="shared" si="1"/>
        <v>44</v>
      </c>
    </row>
    <row r="20">
      <c r="A20" s="41" t="s">
        <v>41</v>
      </c>
      <c r="B20" s="42">
        <v>0.0</v>
      </c>
      <c r="C20" s="42">
        <v>4.0</v>
      </c>
      <c r="D20" s="42">
        <v>2.0</v>
      </c>
      <c r="E20" s="42">
        <v>0.0</v>
      </c>
      <c r="F20" s="43">
        <v>6.0</v>
      </c>
      <c r="G20" s="44">
        <f t="shared" si="1"/>
        <v>24</v>
      </c>
    </row>
    <row r="21">
      <c r="A21" s="41" t="s">
        <v>42</v>
      </c>
      <c r="B21" s="42">
        <v>4.0</v>
      </c>
      <c r="C21" s="42">
        <v>7.0</v>
      </c>
      <c r="D21" s="42">
        <v>0.0</v>
      </c>
      <c r="E21" s="42">
        <v>0.0</v>
      </c>
      <c r="F21" s="43">
        <v>11.0</v>
      </c>
      <c r="G21" s="44">
        <f t="shared" si="1"/>
        <v>44</v>
      </c>
    </row>
    <row r="22">
      <c r="A22" s="41" t="s">
        <v>43</v>
      </c>
      <c r="B22" s="42">
        <v>0.0</v>
      </c>
      <c r="C22" s="42">
        <v>0.0</v>
      </c>
      <c r="D22" s="42">
        <v>5.0</v>
      </c>
      <c r="E22" s="42">
        <v>0.0</v>
      </c>
      <c r="F22" s="43">
        <v>5.0</v>
      </c>
      <c r="G22" s="44">
        <f t="shared" si="1"/>
        <v>20</v>
      </c>
    </row>
    <row r="23">
      <c r="A23" s="41" t="s">
        <v>44</v>
      </c>
      <c r="B23" s="42">
        <v>0.0</v>
      </c>
      <c r="C23" s="42">
        <v>0.0</v>
      </c>
      <c r="D23" s="42">
        <v>4.0</v>
      </c>
      <c r="E23" s="42">
        <v>5.0</v>
      </c>
      <c r="F23" s="43">
        <v>9.0</v>
      </c>
      <c r="G23" s="44">
        <f t="shared" si="1"/>
        <v>36</v>
      </c>
    </row>
    <row r="24">
      <c r="A24" s="41" t="s">
        <v>45</v>
      </c>
      <c r="B24" s="42">
        <v>0.0</v>
      </c>
      <c r="C24" s="42">
        <v>1.0</v>
      </c>
      <c r="D24" s="42">
        <v>7.0</v>
      </c>
      <c r="E24" s="42">
        <v>1.0</v>
      </c>
      <c r="F24" s="43">
        <v>9.0</v>
      </c>
      <c r="G24" s="44">
        <f t="shared" si="1"/>
        <v>36</v>
      </c>
    </row>
    <row r="25">
      <c r="A25" s="41" t="s">
        <v>46</v>
      </c>
      <c r="B25" s="42">
        <v>0.0</v>
      </c>
      <c r="C25" s="42">
        <v>9.0</v>
      </c>
      <c r="D25" s="42">
        <v>1.0</v>
      </c>
      <c r="E25" s="42">
        <v>0.0</v>
      </c>
      <c r="F25" s="43">
        <v>10.0</v>
      </c>
      <c r="G25" s="44">
        <f t="shared" si="1"/>
        <v>40</v>
      </c>
    </row>
    <row r="26">
      <c r="A26" s="41" t="s">
        <v>47</v>
      </c>
      <c r="B26" s="42">
        <v>0.0</v>
      </c>
      <c r="C26" s="42">
        <v>1.0</v>
      </c>
      <c r="D26" s="42">
        <v>0.0</v>
      </c>
      <c r="E26" s="42">
        <v>0.0</v>
      </c>
      <c r="F26" s="43">
        <v>1.0</v>
      </c>
      <c r="G26" s="44">
        <f t="shared" si="1"/>
        <v>4</v>
      </c>
    </row>
    <row r="27">
      <c r="A27" s="41" t="s">
        <v>48</v>
      </c>
      <c r="B27" s="42">
        <v>0.0</v>
      </c>
      <c r="C27" s="42">
        <v>11.0</v>
      </c>
      <c r="D27" s="42">
        <v>0.0</v>
      </c>
      <c r="E27" s="42">
        <v>0.0</v>
      </c>
      <c r="F27" s="43">
        <v>11.0</v>
      </c>
      <c r="G27" s="44">
        <f t="shared" si="1"/>
        <v>44</v>
      </c>
    </row>
    <row r="28">
      <c r="A28" s="41" t="s">
        <v>49</v>
      </c>
      <c r="B28" s="42">
        <v>7.0</v>
      </c>
      <c r="C28" s="42">
        <v>0.0</v>
      </c>
      <c r="D28" s="42">
        <v>0.0</v>
      </c>
      <c r="E28" s="42">
        <v>0.0</v>
      </c>
      <c r="F28" s="43">
        <v>7.0</v>
      </c>
      <c r="G28" s="44">
        <f t="shared" si="1"/>
        <v>28</v>
      </c>
    </row>
    <row r="29">
      <c r="A29" s="41" t="s">
        <v>51</v>
      </c>
      <c r="B29" s="42">
        <v>0.0</v>
      </c>
      <c r="C29" s="42">
        <v>2.0</v>
      </c>
      <c r="D29" s="42">
        <v>10.0</v>
      </c>
      <c r="E29" s="42">
        <v>0.0</v>
      </c>
      <c r="F29" s="43">
        <v>12.0</v>
      </c>
      <c r="G29" s="44">
        <f t="shared" si="1"/>
        <v>48</v>
      </c>
    </row>
    <row r="30">
      <c r="A30" s="41" t="s">
        <v>52</v>
      </c>
      <c r="B30" s="42">
        <v>0.0</v>
      </c>
      <c r="C30" s="42">
        <v>4.0</v>
      </c>
      <c r="D30" s="42">
        <v>7.0</v>
      </c>
      <c r="E30" s="42">
        <v>0.0</v>
      </c>
      <c r="F30" s="43">
        <v>11.0</v>
      </c>
      <c r="G30" s="44">
        <f t="shared" si="1"/>
        <v>44</v>
      </c>
    </row>
    <row r="31">
      <c r="A31" s="41" t="s">
        <v>53</v>
      </c>
      <c r="B31" s="42">
        <v>0.0</v>
      </c>
      <c r="C31" s="42">
        <v>0.0</v>
      </c>
      <c r="D31" s="42">
        <v>1.0</v>
      </c>
      <c r="E31" s="42">
        <v>8.0</v>
      </c>
      <c r="F31" s="43">
        <v>9.0</v>
      </c>
      <c r="G31" s="44">
        <f t="shared" si="1"/>
        <v>36</v>
      </c>
    </row>
    <row r="32">
      <c r="A32" s="41" t="s">
        <v>54</v>
      </c>
      <c r="B32" s="42">
        <v>0.0</v>
      </c>
      <c r="C32" s="42">
        <v>11.0</v>
      </c>
      <c r="D32" s="42">
        <v>0.0</v>
      </c>
      <c r="E32" s="42">
        <v>0.0</v>
      </c>
      <c r="F32" s="43">
        <v>11.0</v>
      </c>
      <c r="G32" s="44">
        <f t="shared" si="1"/>
        <v>44</v>
      </c>
    </row>
    <row r="33">
      <c r="A33" s="41" t="s">
        <v>147</v>
      </c>
      <c r="B33" s="42">
        <v>1.0</v>
      </c>
      <c r="C33" s="42">
        <v>11.0</v>
      </c>
      <c r="D33" s="42">
        <v>0.0</v>
      </c>
      <c r="E33" s="42">
        <v>0.0</v>
      </c>
      <c r="F33" s="43">
        <v>12.0</v>
      </c>
      <c r="G33" s="44">
        <f t="shared" si="1"/>
        <v>48</v>
      </c>
    </row>
    <row r="34">
      <c r="A34" s="41" t="s">
        <v>57</v>
      </c>
      <c r="B34" s="42">
        <v>0.0</v>
      </c>
      <c r="C34" s="42">
        <v>3.0</v>
      </c>
      <c r="D34" s="42">
        <v>3.0</v>
      </c>
      <c r="E34" s="42">
        <v>0.0</v>
      </c>
      <c r="F34" s="43">
        <v>6.0</v>
      </c>
      <c r="G34" s="44">
        <f t="shared" si="1"/>
        <v>24</v>
      </c>
    </row>
    <row r="35">
      <c r="A35" s="41" t="s">
        <v>59</v>
      </c>
      <c r="B35" s="42">
        <v>0.0</v>
      </c>
      <c r="C35" s="42">
        <v>0.0</v>
      </c>
      <c r="D35" s="42">
        <v>2.0</v>
      </c>
      <c r="E35" s="42">
        <v>1.0</v>
      </c>
      <c r="F35" s="43">
        <v>3.0</v>
      </c>
      <c r="G35" s="44">
        <f t="shared" si="1"/>
        <v>12</v>
      </c>
    </row>
    <row r="36">
      <c r="A36" s="41" t="s">
        <v>60</v>
      </c>
      <c r="B36" s="42">
        <v>2.0</v>
      </c>
      <c r="C36" s="42">
        <v>8.0</v>
      </c>
      <c r="D36" s="42">
        <v>0.0</v>
      </c>
      <c r="E36" s="42">
        <v>0.0</v>
      </c>
      <c r="F36" s="43">
        <v>10.0</v>
      </c>
      <c r="G36" s="44">
        <f t="shared" si="1"/>
        <v>40</v>
      </c>
    </row>
    <row r="37">
      <c r="A37" s="41" t="s">
        <v>61</v>
      </c>
      <c r="B37" s="42">
        <v>0.0</v>
      </c>
      <c r="C37" s="42">
        <v>0.0</v>
      </c>
      <c r="D37" s="42">
        <v>0.0</v>
      </c>
      <c r="E37" s="42">
        <v>10.0</v>
      </c>
      <c r="F37" s="43">
        <v>10.0</v>
      </c>
      <c r="G37" s="44">
        <f t="shared" si="1"/>
        <v>40</v>
      </c>
    </row>
    <row r="38">
      <c r="A38" s="41" t="s">
        <v>62</v>
      </c>
      <c r="B38" s="42">
        <v>0.0</v>
      </c>
      <c r="C38" s="42">
        <v>0.0</v>
      </c>
      <c r="D38" s="42">
        <v>0.0</v>
      </c>
      <c r="E38" s="42">
        <v>9.0</v>
      </c>
      <c r="F38" s="43">
        <v>9.0</v>
      </c>
      <c r="G38" s="44">
        <f t="shared" si="1"/>
        <v>36</v>
      </c>
    </row>
    <row r="39">
      <c r="A39" s="41" t="s">
        <v>63</v>
      </c>
      <c r="B39" s="42">
        <v>0.0</v>
      </c>
      <c r="C39" s="42">
        <v>0.0</v>
      </c>
      <c r="D39" s="42">
        <v>0.0</v>
      </c>
      <c r="E39" s="42">
        <v>7.0</v>
      </c>
      <c r="F39" s="43">
        <v>7.0</v>
      </c>
      <c r="G39" s="44">
        <f t="shared" si="1"/>
        <v>28</v>
      </c>
    </row>
    <row r="40">
      <c r="A40" s="41" t="s">
        <v>64</v>
      </c>
      <c r="B40" s="42">
        <v>11.0</v>
      </c>
      <c r="C40" s="42">
        <v>0.0</v>
      </c>
      <c r="D40" s="42">
        <v>0.0</v>
      </c>
      <c r="E40" s="42">
        <v>0.0</v>
      </c>
      <c r="F40" s="43">
        <v>11.0</v>
      </c>
      <c r="G40" s="44">
        <f t="shared" si="1"/>
        <v>44</v>
      </c>
    </row>
    <row r="41">
      <c r="A41" s="41" t="s">
        <v>65</v>
      </c>
      <c r="B41" s="42">
        <v>0.0</v>
      </c>
      <c r="C41" s="42">
        <v>10.0</v>
      </c>
      <c r="D41" s="42">
        <v>0.0</v>
      </c>
      <c r="E41" s="42">
        <v>0.0</v>
      </c>
      <c r="F41" s="43">
        <v>10.0</v>
      </c>
      <c r="G41" s="44">
        <f t="shared" si="1"/>
        <v>40</v>
      </c>
    </row>
    <row r="42">
      <c r="A42" s="41" t="s">
        <v>66</v>
      </c>
      <c r="B42" s="42">
        <v>3.0</v>
      </c>
      <c r="C42" s="42">
        <v>1.0</v>
      </c>
      <c r="D42" s="42">
        <v>0.0</v>
      </c>
      <c r="E42" s="42">
        <v>0.0</v>
      </c>
      <c r="F42" s="43">
        <v>4.0</v>
      </c>
      <c r="G42" s="44">
        <f t="shared" si="1"/>
        <v>16</v>
      </c>
    </row>
    <row r="43">
      <c r="A43" s="41" t="s">
        <v>67</v>
      </c>
      <c r="B43" s="42">
        <v>10.0</v>
      </c>
      <c r="C43" s="42">
        <v>0.0</v>
      </c>
      <c r="D43" s="42">
        <v>0.0</v>
      </c>
      <c r="E43" s="42">
        <v>0.0</v>
      </c>
      <c r="F43" s="43">
        <v>10.0</v>
      </c>
      <c r="G43" s="44">
        <f t="shared" si="1"/>
        <v>40</v>
      </c>
    </row>
    <row r="44">
      <c r="A44" s="41" t="s">
        <v>68</v>
      </c>
      <c r="B44" s="42">
        <v>9.0</v>
      </c>
      <c r="C44" s="42">
        <v>0.0</v>
      </c>
      <c r="D44" s="42">
        <v>0.0</v>
      </c>
      <c r="E44" s="42">
        <v>0.0</v>
      </c>
      <c r="F44" s="43">
        <v>9.0</v>
      </c>
      <c r="G44" s="44">
        <f t="shared" si="1"/>
        <v>36</v>
      </c>
    </row>
    <row r="45">
      <c r="A45" s="41" t="s">
        <v>148</v>
      </c>
      <c r="B45" s="42">
        <v>0.0</v>
      </c>
      <c r="C45" s="42">
        <v>7.0</v>
      </c>
      <c r="D45" s="42">
        <v>1.0</v>
      </c>
      <c r="E45" s="42">
        <v>0.0</v>
      </c>
      <c r="F45" s="43">
        <v>8.0</v>
      </c>
      <c r="G45" s="44">
        <f t="shared" si="1"/>
        <v>32</v>
      </c>
    </row>
    <row r="46">
      <c r="A46" s="41" t="s">
        <v>70</v>
      </c>
      <c r="B46" s="42">
        <v>0.0</v>
      </c>
      <c r="C46" s="42">
        <v>0.0</v>
      </c>
      <c r="D46" s="42">
        <v>11.0</v>
      </c>
      <c r="E46" s="42">
        <v>0.0</v>
      </c>
      <c r="F46" s="43">
        <v>11.0</v>
      </c>
      <c r="G46" s="44">
        <f t="shared" si="1"/>
        <v>44</v>
      </c>
    </row>
    <row r="47">
      <c r="A47" s="41" t="s">
        <v>71</v>
      </c>
      <c r="B47" s="42">
        <v>11.0</v>
      </c>
      <c r="C47" s="42">
        <v>0.0</v>
      </c>
      <c r="D47" s="42">
        <v>0.0</v>
      </c>
      <c r="E47" s="42">
        <v>0.0</v>
      </c>
      <c r="F47" s="43">
        <v>11.0</v>
      </c>
      <c r="G47" s="44">
        <f t="shared" si="1"/>
        <v>44</v>
      </c>
    </row>
    <row r="48">
      <c r="A48" s="41" t="s">
        <v>72</v>
      </c>
      <c r="B48" s="42">
        <v>12.0</v>
      </c>
      <c r="C48" s="42">
        <v>0.0</v>
      </c>
      <c r="D48" s="42">
        <v>0.0</v>
      </c>
      <c r="E48" s="42">
        <v>0.0</v>
      </c>
      <c r="F48" s="43">
        <v>12.0</v>
      </c>
      <c r="G48" s="44">
        <f t="shared" si="1"/>
        <v>48</v>
      </c>
    </row>
    <row r="49">
      <c r="A49" s="41" t="s">
        <v>73</v>
      </c>
      <c r="B49" s="42">
        <v>0.0</v>
      </c>
      <c r="C49" s="42">
        <v>1.0</v>
      </c>
      <c r="D49" s="42">
        <v>0.0</v>
      </c>
      <c r="E49" s="42">
        <v>0.0</v>
      </c>
      <c r="F49" s="43">
        <v>1.0</v>
      </c>
      <c r="G49" s="44">
        <f t="shared" si="1"/>
        <v>4</v>
      </c>
    </row>
    <row r="50">
      <c r="A50" s="41" t="s">
        <v>74</v>
      </c>
      <c r="B50" s="42">
        <v>0.0</v>
      </c>
      <c r="C50" s="42">
        <v>8.0</v>
      </c>
      <c r="D50" s="42">
        <v>0.0</v>
      </c>
      <c r="E50" s="42">
        <v>0.0</v>
      </c>
      <c r="F50" s="43">
        <v>8.0</v>
      </c>
      <c r="G50" s="44">
        <f t="shared" si="1"/>
        <v>32</v>
      </c>
    </row>
    <row r="51">
      <c r="A51" s="41" t="s">
        <v>75</v>
      </c>
      <c r="B51" s="42">
        <v>0.0</v>
      </c>
      <c r="C51" s="42">
        <v>3.0</v>
      </c>
      <c r="D51" s="42">
        <v>1.0</v>
      </c>
      <c r="E51" s="42">
        <v>0.0</v>
      </c>
      <c r="F51" s="43">
        <v>4.0</v>
      </c>
      <c r="G51" s="44">
        <f t="shared" si="1"/>
        <v>16</v>
      </c>
    </row>
    <row r="52">
      <c r="A52" s="41" t="s">
        <v>76</v>
      </c>
      <c r="B52" s="42">
        <v>0.0</v>
      </c>
      <c r="C52" s="42">
        <v>0.0</v>
      </c>
      <c r="D52" s="42">
        <v>8.0</v>
      </c>
      <c r="E52" s="42">
        <v>0.0</v>
      </c>
      <c r="F52" s="43">
        <v>8.0</v>
      </c>
      <c r="G52" s="44">
        <f t="shared" si="1"/>
        <v>32</v>
      </c>
    </row>
    <row r="53">
      <c r="A53" s="41" t="s">
        <v>77</v>
      </c>
      <c r="B53" s="42">
        <v>0.0</v>
      </c>
      <c r="C53" s="42">
        <v>0.0</v>
      </c>
      <c r="D53" s="42">
        <v>6.0</v>
      </c>
      <c r="E53" s="42">
        <v>2.0</v>
      </c>
      <c r="F53" s="43">
        <v>8.0</v>
      </c>
      <c r="G53" s="44">
        <f t="shared" si="1"/>
        <v>32</v>
      </c>
    </row>
    <row r="54">
      <c r="A54" s="41" t="s">
        <v>78</v>
      </c>
      <c r="B54" s="42">
        <v>0.0</v>
      </c>
      <c r="C54" s="42">
        <v>0.0</v>
      </c>
      <c r="D54" s="42">
        <v>10.0</v>
      </c>
      <c r="E54" s="42">
        <v>0.0</v>
      </c>
      <c r="F54" s="43">
        <v>10.0</v>
      </c>
      <c r="G54" s="44">
        <f t="shared" si="1"/>
        <v>40</v>
      </c>
    </row>
    <row r="55">
      <c r="A55" s="41" t="s">
        <v>79</v>
      </c>
      <c r="B55" s="42">
        <v>3.0</v>
      </c>
      <c r="C55" s="42">
        <v>7.0</v>
      </c>
      <c r="D55" s="42">
        <v>0.0</v>
      </c>
      <c r="E55" s="42">
        <v>0.0</v>
      </c>
      <c r="F55" s="43">
        <v>10.0</v>
      </c>
      <c r="G55" s="44">
        <f t="shared" si="1"/>
        <v>40</v>
      </c>
    </row>
    <row r="56">
      <c r="A56" s="41" t="s">
        <v>80</v>
      </c>
      <c r="B56" s="42">
        <v>0.0</v>
      </c>
      <c r="C56" s="42">
        <v>0.0</v>
      </c>
      <c r="D56" s="42">
        <v>2.0</v>
      </c>
      <c r="E56" s="42">
        <v>7.0</v>
      </c>
      <c r="F56" s="43">
        <v>9.0</v>
      </c>
      <c r="G56" s="44">
        <f t="shared" si="1"/>
        <v>36</v>
      </c>
    </row>
    <row r="57">
      <c r="A57" s="41" t="s">
        <v>81</v>
      </c>
      <c r="B57" s="42">
        <v>0.0</v>
      </c>
      <c r="C57" s="42">
        <v>0.0</v>
      </c>
      <c r="D57" s="42">
        <v>1.0</v>
      </c>
      <c r="E57" s="42">
        <v>11.0</v>
      </c>
      <c r="F57" s="43">
        <v>12.0</v>
      </c>
      <c r="G57" s="44">
        <f t="shared" si="1"/>
        <v>48</v>
      </c>
    </row>
    <row r="58">
      <c r="A58" s="41" t="s">
        <v>83</v>
      </c>
      <c r="B58" s="42">
        <v>0.0</v>
      </c>
      <c r="C58" s="42">
        <v>7.0</v>
      </c>
      <c r="D58" s="42">
        <v>0.0</v>
      </c>
      <c r="E58" s="42">
        <v>0.0</v>
      </c>
      <c r="F58" s="43">
        <v>7.0</v>
      </c>
      <c r="G58" s="44">
        <f t="shared" si="1"/>
        <v>28</v>
      </c>
    </row>
    <row r="59">
      <c r="A59" s="41" t="s">
        <v>84</v>
      </c>
      <c r="B59" s="42">
        <v>0.0</v>
      </c>
      <c r="C59" s="42">
        <v>0.0</v>
      </c>
      <c r="D59" s="42">
        <v>0.0</v>
      </c>
      <c r="E59" s="42">
        <v>3.0</v>
      </c>
      <c r="F59" s="43">
        <v>3.0</v>
      </c>
      <c r="G59" s="44">
        <f t="shared" si="1"/>
        <v>12</v>
      </c>
    </row>
    <row r="60">
      <c r="A60" s="41" t="s">
        <v>85</v>
      </c>
      <c r="B60" s="42">
        <v>12.0</v>
      </c>
      <c r="C60" s="42">
        <v>0.0</v>
      </c>
      <c r="D60" s="42">
        <v>0.0</v>
      </c>
      <c r="E60" s="42">
        <v>0.0</v>
      </c>
      <c r="F60" s="43">
        <v>12.0</v>
      </c>
      <c r="G60" s="44">
        <f t="shared" si="1"/>
        <v>48</v>
      </c>
    </row>
    <row r="61">
      <c r="A61" s="41" t="s">
        <v>86</v>
      </c>
      <c r="B61" s="42">
        <v>11.0</v>
      </c>
      <c r="C61" s="42">
        <v>0.0</v>
      </c>
      <c r="D61" s="42">
        <v>0.0</v>
      </c>
      <c r="E61" s="42">
        <v>0.0</v>
      </c>
      <c r="F61" s="43">
        <v>11.0</v>
      </c>
      <c r="G61" s="44">
        <f t="shared" si="1"/>
        <v>44</v>
      </c>
    </row>
    <row r="62">
      <c r="A62" s="41" t="s">
        <v>87</v>
      </c>
      <c r="B62" s="42">
        <v>0.0</v>
      </c>
      <c r="C62" s="42">
        <v>9.0</v>
      </c>
      <c r="D62" s="42">
        <v>0.0</v>
      </c>
      <c r="E62" s="42">
        <v>0.0</v>
      </c>
      <c r="F62" s="43">
        <v>9.0</v>
      </c>
      <c r="G62" s="44">
        <f t="shared" si="1"/>
        <v>36</v>
      </c>
    </row>
    <row r="63">
      <c r="A63" s="41" t="s">
        <v>88</v>
      </c>
      <c r="B63" s="42">
        <v>5.0</v>
      </c>
      <c r="C63" s="42">
        <v>6.0</v>
      </c>
      <c r="D63" s="42">
        <v>1.0</v>
      </c>
      <c r="E63" s="42">
        <v>0.0</v>
      </c>
      <c r="F63" s="43">
        <v>12.0</v>
      </c>
      <c r="G63" s="44">
        <f t="shared" si="1"/>
        <v>48</v>
      </c>
    </row>
    <row r="64">
      <c r="A64" s="41" t="s">
        <v>89</v>
      </c>
      <c r="B64" s="42">
        <v>10.0</v>
      </c>
      <c r="C64" s="42">
        <v>0.0</v>
      </c>
      <c r="D64" s="42">
        <v>0.0</v>
      </c>
      <c r="E64" s="42">
        <v>0.0</v>
      </c>
      <c r="F64" s="43">
        <v>10.0</v>
      </c>
      <c r="G64" s="44">
        <f t="shared" si="1"/>
        <v>40</v>
      </c>
    </row>
    <row r="65">
      <c r="A65" s="41" t="s">
        <v>91</v>
      </c>
      <c r="B65" s="42">
        <v>11.0</v>
      </c>
      <c r="C65" s="42">
        <v>0.0</v>
      </c>
      <c r="D65" s="42">
        <v>0.0</v>
      </c>
      <c r="E65" s="42">
        <v>0.0</v>
      </c>
      <c r="F65" s="43">
        <v>11.0</v>
      </c>
      <c r="G65" s="44">
        <f t="shared" si="1"/>
        <v>44</v>
      </c>
    </row>
    <row r="66">
      <c r="A66" s="41" t="s">
        <v>92</v>
      </c>
      <c r="B66" s="42">
        <v>0.0</v>
      </c>
      <c r="C66" s="42">
        <v>0.0</v>
      </c>
      <c r="D66" s="42">
        <v>1.0</v>
      </c>
      <c r="E66" s="42">
        <v>5.0</v>
      </c>
      <c r="F66" s="43">
        <v>6.0</v>
      </c>
      <c r="G66" s="44">
        <f t="shared" si="1"/>
        <v>24</v>
      </c>
    </row>
    <row r="67">
      <c r="A67" s="41" t="s">
        <v>93</v>
      </c>
      <c r="B67" s="42">
        <v>0.0</v>
      </c>
      <c r="C67" s="42">
        <v>0.0</v>
      </c>
      <c r="D67" s="42">
        <v>7.0</v>
      </c>
      <c r="E67" s="42">
        <v>5.0</v>
      </c>
      <c r="F67" s="43">
        <v>12.0</v>
      </c>
      <c r="G67" s="44">
        <f t="shared" si="1"/>
        <v>48</v>
      </c>
    </row>
    <row r="68">
      <c r="A68" s="41" t="s">
        <v>94</v>
      </c>
      <c r="B68" s="42">
        <v>0.0</v>
      </c>
      <c r="C68" s="42">
        <v>0.0</v>
      </c>
      <c r="D68" s="42">
        <v>11.0</v>
      </c>
      <c r="E68" s="42">
        <v>0.0</v>
      </c>
      <c r="F68" s="43">
        <v>11.0</v>
      </c>
      <c r="G68" s="44">
        <f t="shared" si="1"/>
        <v>44</v>
      </c>
    </row>
    <row r="69">
      <c r="A69" s="41" t="s">
        <v>95</v>
      </c>
      <c r="B69" s="42">
        <v>0.0</v>
      </c>
      <c r="C69" s="42">
        <v>0.0</v>
      </c>
      <c r="D69" s="42">
        <v>2.0</v>
      </c>
      <c r="E69" s="42">
        <v>5.0</v>
      </c>
      <c r="F69" s="43">
        <v>7.0</v>
      </c>
      <c r="G69" s="44">
        <f t="shared" si="1"/>
        <v>28</v>
      </c>
    </row>
    <row r="70">
      <c r="A70" s="41" t="s">
        <v>97</v>
      </c>
      <c r="B70" s="42">
        <v>0.0</v>
      </c>
      <c r="C70" s="42">
        <v>0.0</v>
      </c>
      <c r="D70" s="42">
        <v>12.0</v>
      </c>
      <c r="E70" s="42">
        <v>0.0</v>
      </c>
      <c r="F70" s="43">
        <v>12.0</v>
      </c>
      <c r="G70" s="44">
        <f t="shared" si="1"/>
        <v>48</v>
      </c>
    </row>
    <row r="71">
      <c r="A71" s="41" t="s">
        <v>98</v>
      </c>
      <c r="B71" s="42">
        <v>0.0</v>
      </c>
      <c r="C71" s="42">
        <v>1.0</v>
      </c>
      <c r="D71" s="42">
        <v>11.0</v>
      </c>
      <c r="E71" s="42">
        <v>0.0</v>
      </c>
      <c r="F71" s="43">
        <v>12.0</v>
      </c>
      <c r="G71" s="44">
        <f t="shared" si="1"/>
        <v>48</v>
      </c>
    </row>
    <row r="72">
      <c r="A72" s="41" t="s">
        <v>99</v>
      </c>
      <c r="B72" s="42">
        <v>0.0</v>
      </c>
      <c r="C72" s="42">
        <v>0.0</v>
      </c>
      <c r="D72" s="42">
        <v>0.0</v>
      </c>
      <c r="E72" s="42">
        <v>7.0</v>
      </c>
      <c r="F72" s="43">
        <v>7.0</v>
      </c>
      <c r="G72" s="44">
        <f t="shared" si="1"/>
        <v>28</v>
      </c>
    </row>
    <row r="73">
      <c r="A73" s="41" t="s">
        <v>100</v>
      </c>
      <c r="B73" s="42">
        <v>0.0</v>
      </c>
      <c r="C73" s="42">
        <v>9.0</v>
      </c>
      <c r="D73" s="42">
        <v>0.0</v>
      </c>
      <c r="E73" s="42">
        <v>0.0</v>
      </c>
      <c r="F73" s="43">
        <v>9.0</v>
      </c>
      <c r="G73" s="44">
        <f t="shared" si="1"/>
        <v>36</v>
      </c>
    </row>
    <row r="74">
      <c r="A74" s="41" t="s">
        <v>102</v>
      </c>
      <c r="B74" s="42">
        <v>9.0</v>
      </c>
      <c r="C74" s="42">
        <v>0.0</v>
      </c>
      <c r="D74" s="42">
        <v>0.0</v>
      </c>
      <c r="E74" s="42">
        <v>0.0</v>
      </c>
      <c r="F74" s="43">
        <v>9.0</v>
      </c>
      <c r="G74" s="44">
        <f t="shared" si="1"/>
        <v>36</v>
      </c>
    </row>
    <row r="75">
      <c r="A75" s="41" t="s">
        <v>103</v>
      </c>
      <c r="B75" s="42">
        <v>0.0</v>
      </c>
      <c r="C75" s="42">
        <v>5.0</v>
      </c>
      <c r="D75" s="42">
        <v>6.0</v>
      </c>
      <c r="E75" s="42">
        <v>0.0</v>
      </c>
      <c r="F75" s="43">
        <v>11.0</v>
      </c>
      <c r="G75" s="44">
        <f t="shared" si="1"/>
        <v>44</v>
      </c>
    </row>
    <row r="76">
      <c r="A76" s="41" t="s">
        <v>104</v>
      </c>
      <c r="B76" s="42">
        <v>0.0</v>
      </c>
      <c r="C76" s="42">
        <v>0.0</v>
      </c>
      <c r="D76" s="42">
        <v>0.0</v>
      </c>
      <c r="E76" s="42">
        <v>3.0</v>
      </c>
      <c r="F76" s="43">
        <v>3.0</v>
      </c>
      <c r="G76" s="44">
        <f t="shared" si="1"/>
        <v>12</v>
      </c>
    </row>
    <row r="77">
      <c r="A77" s="41" t="s">
        <v>106</v>
      </c>
      <c r="B77" s="42">
        <v>7.0</v>
      </c>
      <c r="C77" s="42">
        <v>0.0</v>
      </c>
      <c r="D77" s="42">
        <v>0.0</v>
      </c>
      <c r="E77" s="42">
        <v>0.0</v>
      </c>
      <c r="F77" s="43">
        <v>7.0</v>
      </c>
      <c r="G77" s="44">
        <f t="shared" si="1"/>
        <v>28</v>
      </c>
    </row>
    <row r="78">
      <c r="A78" s="41" t="s">
        <v>107</v>
      </c>
      <c r="B78" s="42">
        <v>0.0</v>
      </c>
      <c r="C78" s="42">
        <v>0.0</v>
      </c>
      <c r="D78" s="42">
        <v>0.0</v>
      </c>
      <c r="E78" s="42">
        <v>9.0</v>
      </c>
      <c r="F78" s="43">
        <v>9.0</v>
      </c>
      <c r="G78" s="44">
        <f t="shared" si="1"/>
        <v>36</v>
      </c>
    </row>
    <row r="79">
      <c r="A79" s="41" t="s">
        <v>108</v>
      </c>
      <c r="B79" s="42">
        <v>0.0</v>
      </c>
      <c r="C79" s="42">
        <v>0.0</v>
      </c>
      <c r="D79" s="42">
        <v>0.0</v>
      </c>
      <c r="E79" s="42">
        <v>9.0</v>
      </c>
      <c r="F79" s="43">
        <v>9.0</v>
      </c>
      <c r="G79" s="44">
        <f t="shared" si="1"/>
        <v>36</v>
      </c>
    </row>
    <row r="80">
      <c r="A80" s="41" t="s">
        <v>109</v>
      </c>
      <c r="B80" s="42">
        <v>0.0</v>
      </c>
      <c r="C80" s="42">
        <v>0.0</v>
      </c>
      <c r="D80" s="42">
        <v>0.0</v>
      </c>
      <c r="E80" s="42">
        <v>8.0</v>
      </c>
      <c r="F80" s="43">
        <v>8.0</v>
      </c>
      <c r="G80" s="44">
        <f t="shared" si="1"/>
        <v>32</v>
      </c>
    </row>
    <row r="81">
      <c r="A81" s="41" t="s">
        <v>111</v>
      </c>
      <c r="B81" s="42">
        <v>0.0</v>
      </c>
      <c r="C81" s="42">
        <v>0.0</v>
      </c>
      <c r="D81" s="42">
        <v>0.0</v>
      </c>
      <c r="E81" s="42">
        <v>1.0</v>
      </c>
      <c r="F81" s="43">
        <v>1.0</v>
      </c>
      <c r="G81" s="44">
        <f t="shared" si="1"/>
        <v>4</v>
      </c>
    </row>
    <row r="82">
      <c r="A82" s="41" t="s">
        <v>112</v>
      </c>
      <c r="B82" s="42">
        <v>0.0</v>
      </c>
      <c r="C82" s="42">
        <v>0.0</v>
      </c>
      <c r="D82" s="42">
        <v>0.0</v>
      </c>
      <c r="E82" s="42">
        <v>1.0</v>
      </c>
      <c r="F82" s="43">
        <v>1.0</v>
      </c>
      <c r="G82" s="44">
        <f t="shared" si="1"/>
        <v>4</v>
      </c>
    </row>
    <row r="83">
      <c r="A83" s="41" t="s">
        <v>113</v>
      </c>
      <c r="B83" s="42">
        <v>7.0</v>
      </c>
      <c r="C83" s="42">
        <v>0.0</v>
      </c>
      <c r="D83" s="42">
        <v>0.0</v>
      </c>
      <c r="E83" s="42">
        <v>0.0</v>
      </c>
      <c r="F83" s="43">
        <v>7.0</v>
      </c>
      <c r="G83" s="44">
        <f t="shared" si="1"/>
        <v>28</v>
      </c>
    </row>
    <row r="84">
      <c r="A84" s="41" t="s">
        <v>114</v>
      </c>
      <c r="B84" s="42">
        <v>0.0</v>
      </c>
      <c r="C84" s="42">
        <v>1.0</v>
      </c>
      <c r="D84" s="42">
        <v>0.0</v>
      </c>
      <c r="E84" s="42">
        <v>0.0</v>
      </c>
      <c r="F84" s="43">
        <v>1.0</v>
      </c>
      <c r="G84" s="44">
        <f t="shared" si="1"/>
        <v>4</v>
      </c>
    </row>
    <row r="85">
      <c r="A85" s="41" t="s">
        <v>115</v>
      </c>
      <c r="B85" s="42">
        <v>9.0</v>
      </c>
      <c r="C85" s="42">
        <v>0.0</v>
      </c>
      <c r="D85" s="42">
        <v>0.0</v>
      </c>
      <c r="E85" s="42">
        <v>0.0</v>
      </c>
      <c r="F85" s="43">
        <v>9.0</v>
      </c>
      <c r="G85" s="44">
        <f t="shared" si="1"/>
        <v>36</v>
      </c>
    </row>
    <row r="86">
      <c r="A86" s="41" t="s">
        <v>149</v>
      </c>
      <c r="B86" s="42">
        <v>0.0</v>
      </c>
      <c r="C86" s="42">
        <v>1.0</v>
      </c>
      <c r="D86" s="42">
        <v>1.0</v>
      </c>
      <c r="E86" s="42">
        <v>8.0</v>
      </c>
      <c r="F86" s="43">
        <v>10.0</v>
      </c>
      <c r="G86" s="44">
        <f t="shared" si="1"/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1.75"/>
    <col customWidth="1" min="3" max="3" width="14.13"/>
    <col customWidth="1" min="4" max="4" width="23.0"/>
    <col customWidth="1" min="5" max="5" width="15.75"/>
  </cols>
  <sheetData>
    <row r="1">
      <c r="A1" s="39" t="s">
        <v>140</v>
      </c>
      <c r="B1" s="39" t="s">
        <v>150</v>
      </c>
      <c r="C1" s="39" t="s">
        <v>151</v>
      </c>
      <c r="D1" s="39" t="s">
        <v>152</v>
      </c>
      <c r="E1" s="40" t="s">
        <v>146</v>
      </c>
    </row>
    <row r="2">
      <c r="A2" s="41" t="s">
        <v>4</v>
      </c>
      <c r="B2" s="42">
        <v>0.0</v>
      </c>
      <c r="C2" s="42">
        <v>0.0</v>
      </c>
      <c r="D2" s="43">
        <v>0.0</v>
      </c>
      <c r="E2" s="44">
        <f t="shared" ref="E2:E86" si="1">B2*5+C2*4</f>
        <v>0</v>
      </c>
    </row>
    <row r="3">
      <c r="A3" s="41" t="s">
        <v>6</v>
      </c>
      <c r="B3" s="42">
        <v>0.0</v>
      </c>
      <c r="C3" s="42">
        <v>0.0</v>
      </c>
      <c r="D3" s="43">
        <v>0.0</v>
      </c>
      <c r="E3" s="44">
        <f t="shared" si="1"/>
        <v>0</v>
      </c>
    </row>
    <row r="4">
      <c r="A4" s="41" t="s">
        <v>8</v>
      </c>
      <c r="B4" s="42">
        <v>0.0</v>
      </c>
      <c r="C4" s="42">
        <v>0.0</v>
      </c>
      <c r="D4" s="43">
        <v>0.0</v>
      </c>
      <c r="E4" s="44">
        <f t="shared" si="1"/>
        <v>0</v>
      </c>
    </row>
    <row r="5">
      <c r="A5" s="41" t="s">
        <v>11</v>
      </c>
      <c r="B5" s="42">
        <v>0.0</v>
      </c>
      <c r="C5" s="42">
        <v>0.0</v>
      </c>
      <c r="D5" s="43">
        <v>0.0</v>
      </c>
      <c r="E5" s="44">
        <f t="shared" si="1"/>
        <v>0</v>
      </c>
    </row>
    <row r="6">
      <c r="A6" s="41" t="s">
        <v>13</v>
      </c>
      <c r="B6" s="42">
        <v>6.0</v>
      </c>
      <c r="C6" s="42">
        <v>0.0</v>
      </c>
      <c r="D6" s="43">
        <v>6.0</v>
      </c>
      <c r="E6" s="44">
        <f t="shared" si="1"/>
        <v>30</v>
      </c>
    </row>
    <row r="7">
      <c r="A7" s="41" t="s">
        <v>16</v>
      </c>
      <c r="B7" s="42">
        <v>0.0</v>
      </c>
      <c r="C7" s="42">
        <v>6.0</v>
      </c>
      <c r="D7" s="43">
        <v>6.0</v>
      </c>
      <c r="E7" s="44">
        <f t="shared" si="1"/>
        <v>24</v>
      </c>
    </row>
    <row r="8">
      <c r="A8" s="41" t="s">
        <v>19</v>
      </c>
      <c r="B8" s="42">
        <v>0.0</v>
      </c>
      <c r="C8" s="42">
        <v>1.0</v>
      </c>
      <c r="D8" s="43">
        <v>1.0</v>
      </c>
      <c r="E8" s="44">
        <f t="shared" si="1"/>
        <v>4</v>
      </c>
    </row>
    <row r="9">
      <c r="A9" s="41" t="s">
        <v>22</v>
      </c>
      <c r="B9" s="42">
        <v>0.0</v>
      </c>
      <c r="C9" s="42">
        <v>1.0</v>
      </c>
      <c r="D9" s="43">
        <v>1.0</v>
      </c>
      <c r="E9" s="44">
        <f t="shared" si="1"/>
        <v>4</v>
      </c>
    </row>
    <row r="10">
      <c r="A10" s="41" t="s">
        <v>24</v>
      </c>
      <c r="B10" s="42">
        <v>0.0</v>
      </c>
      <c r="C10" s="42">
        <v>5.0</v>
      </c>
      <c r="D10" s="43">
        <v>5.0</v>
      </c>
      <c r="E10" s="44">
        <f t="shared" si="1"/>
        <v>20</v>
      </c>
    </row>
    <row r="11">
      <c r="A11" s="41" t="s">
        <v>25</v>
      </c>
      <c r="B11" s="42">
        <v>0.0</v>
      </c>
      <c r="C11" s="42">
        <v>0.0</v>
      </c>
      <c r="D11" s="43">
        <v>0.0</v>
      </c>
      <c r="E11" s="44">
        <f t="shared" si="1"/>
        <v>0</v>
      </c>
    </row>
    <row r="12">
      <c r="A12" s="41" t="s">
        <v>27</v>
      </c>
      <c r="B12" s="42">
        <v>0.0</v>
      </c>
      <c r="C12" s="42">
        <v>0.0</v>
      </c>
      <c r="D12" s="43">
        <v>0.0</v>
      </c>
      <c r="E12" s="44">
        <f t="shared" si="1"/>
        <v>0</v>
      </c>
    </row>
    <row r="13">
      <c r="A13" s="41" t="s">
        <v>29</v>
      </c>
      <c r="B13" s="42">
        <v>0.0</v>
      </c>
      <c r="C13" s="42">
        <v>4.0</v>
      </c>
      <c r="D13" s="43">
        <v>4.0</v>
      </c>
      <c r="E13" s="44">
        <f t="shared" si="1"/>
        <v>16</v>
      </c>
    </row>
    <row r="14">
      <c r="A14" s="41" t="s">
        <v>31</v>
      </c>
      <c r="B14" s="42">
        <v>2.0</v>
      </c>
      <c r="C14" s="42">
        <v>0.0</v>
      </c>
      <c r="D14" s="43">
        <v>2.0</v>
      </c>
      <c r="E14" s="44">
        <f t="shared" si="1"/>
        <v>10</v>
      </c>
    </row>
    <row r="15">
      <c r="A15" s="41" t="s">
        <v>33</v>
      </c>
      <c r="B15" s="42">
        <v>0.0</v>
      </c>
      <c r="C15" s="42">
        <v>0.0</v>
      </c>
      <c r="D15" s="43">
        <v>0.0</v>
      </c>
      <c r="E15" s="44">
        <f t="shared" si="1"/>
        <v>0</v>
      </c>
    </row>
    <row r="16">
      <c r="A16" s="41" t="s">
        <v>35</v>
      </c>
      <c r="B16" s="42">
        <v>0.0</v>
      </c>
      <c r="C16" s="42">
        <v>0.0</v>
      </c>
      <c r="D16" s="43">
        <v>0.0</v>
      </c>
      <c r="E16" s="44">
        <f t="shared" si="1"/>
        <v>0</v>
      </c>
    </row>
    <row r="17">
      <c r="A17" s="41" t="s">
        <v>37</v>
      </c>
      <c r="B17" s="42">
        <v>6.0</v>
      </c>
      <c r="C17" s="42">
        <v>0.0</v>
      </c>
      <c r="D17" s="43">
        <v>6.0</v>
      </c>
      <c r="E17" s="44">
        <f t="shared" si="1"/>
        <v>30</v>
      </c>
    </row>
    <row r="18">
      <c r="A18" s="41" t="s">
        <v>39</v>
      </c>
      <c r="B18" s="42">
        <v>0.0</v>
      </c>
      <c r="C18" s="42">
        <v>5.0</v>
      </c>
      <c r="D18" s="43">
        <v>5.0</v>
      </c>
      <c r="E18" s="44">
        <f t="shared" si="1"/>
        <v>20</v>
      </c>
    </row>
    <row r="19">
      <c r="A19" s="41" t="s">
        <v>40</v>
      </c>
      <c r="B19" s="42">
        <v>0.0</v>
      </c>
      <c r="C19" s="42">
        <v>0.0</v>
      </c>
      <c r="D19" s="43">
        <v>0.0</v>
      </c>
      <c r="E19" s="44">
        <f t="shared" si="1"/>
        <v>0</v>
      </c>
    </row>
    <row r="20">
      <c r="A20" s="41" t="s">
        <v>41</v>
      </c>
      <c r="B20" s="42">
        <v>0.0</v>
      </c>
      <c r="C20" s="42">
        <v>4.0</v>
      </c>
      <c r="D20" s="43">
        <v>4.0</v>
      </c>
      <c r="E20" s="44">
        <f t="shared" si="1"/>
        <v>16</v>
      </c>
    </row>
    <row r="21">
      <c r="A21" s="41" t="s">
        <v>42</v>
      </c>
      <c r="B21" s="42">
        <v>1.0</v>
      </c>
      <c r="C21" s="42">
        <v>6.0</v>
      </c>
      <c r="D21" s="43">
        <v>7.0</v>
      </c>
      <c r="E21" s="44">
        <f t="shared" si="1"/>
        <v>29</v>
      </c>
    </row>
    <row r="22">
      <c r="A22" s="41" t="s">
        <v>43</v>
      </c>
      <c r="B22" s="42">
        <v>0.0</v>
      </c>
      <c r="C22" s="42">
        <v>0.0</v>
      </c>
      <c r="D22" s="43">
        <v>0.0</v>
      </c>
      <c r="E22" s="44">
        <f t="shared" si="1"/>
        <v>0</v>
      </c>
    </row>
    <row r="23">
      <c r="A23" s="41" t="s">
        <v>44</v>
      </c>
      <c r="B23" s="42">
        <v>0.0</v>
      </c>
      <c r="C23" s="42">
        <v>0.0</v>
      </c>
      <c r="D23" s="43">
        <v>0.0</v>
      </c>
      <c r="E23" s="44">
        <f t="shared" si="1"/>
        <v>0</v>
      </c>
    </row>
    <row r="24">
      <c r="A24" s="41" t="s">
        <v>45</v>
      </c>
      <c r="B24" s="42">
        <v>0.0</v>
      </c>
      <c r="C24" s="42">
        <v>0.0</v>
      </c>
      <c r="D24" s="43">
        <v>0.0</v>
      </c>
      <c r="E24" s="44">
        <f t="shared" si="1"/>
        <v>0</v>
      </c>
    </row>
    <row r="25">
      <c r="A25" s="41" t="s">
        <v>46</v>
      </c>
      <c r="B25" s="42">
        <v>0.0</v>
      </c>
      <c r="C25" s="42">
        <v>7.0</v>
      </c>
      <c r="D25" s="43">
        <v>7.0</v>
      </c>
      <c r="E25" s="44">
        <f t="shared" si="1"/>
        <v>28</v>
      </c>
    </row>
    <row r="26">
      <c r="A26" s="41" t="s">
        <v>47</v>
      </c>
      <c r="B26" s="42">
        <v>0.0</v>
      </c>
      <c r="C26" s="42">
        <v>0.0</v>
      </c>
      <c r="D26" s="43">
        <v>0.0</v>
      </c>
      <c r="E26" s="44">
        <f t="shared" si="1"/>
        <v>0</v>
      </c>
    </row>
    <row r="27">
      <c r="A27" s="41" t="s">
        <v>48</v>
      </c>
      <c r="B27" s="42">
        <v>0.0</v>
      </c>
      <c r="C27" s="42">
        <v>6.0</v>
      </c>
      <c r="D27" s="43">
        <v>6.0</v>
      </c>
      <c r="E27" s="44">
        <f t="shared" si="1"/>
        <v>24</v>
      </c>
    </row>
    <row r="28">
      <c r="A28" s="41" t="s">
        <v>49</v>
      </c>
      <c r="B28" s="42">
        <v>5.0</v>
      </c>
      <c r="C28" s="42">
        <v>0.0</v>
      </c>
      <c r="D28" s="43">
        <v>5.0</v>
      </c>
      <c r="E28" s="44">
        <f t="shared" si="1"/>
        <v>25</v>
      </c>
    </row>
    <row r="29">
      <c r="A29" s="41" t="s">
        <v>51</v>
      </c>
      <c r="B29" s="42">
        <v>0.0</v>
      </c>
      <c r="C29" s="42">
        <v>2.0</v>
      </c>
      <c r="D29" s="43">
        <v>2.0</v>
      </c>
      <c r="E29" s="44">
        <f t="shared" si="1"/>
        <v>8</v>
      </c>
    </row>
    <row r="30">
      <c r="A30" s="41" t="s">
        <v>52</v>
      </c>
      <c r="B30" s="42">
        <v>0.0</v>
      </c>
      <c r="C30" s="42">
        <v>0.0</v>
      </c>
      <c r="D30" s="43">
        <v>0.0</v>
      </c>
      <c r="E30" s="44">
        <f t="shared" si="1"/>
        <v>0</v>
      </c>
    </row>
    <row r="31">
      <c r="A31" s="41" t="s">
        <v>53</v>
      </c>
      <c r="B31" s="42">
        <v>0.0</v>
      </c>
      <c r="C31" s="42">
        <v>0.0</v>
      </c>
      <c r="D31" s="43">
        <v>0.0</v>
      </c>
      <c r="E31" s="44">
        <f t="shared" si="1"/>
        <v>0</v>
      </c>
    </row>
    <row r="32">
      <c r="A32" s="41" t="s">
        <v>54</v>
      </c>
      <c r="B32" s="42">
        <v>0.0</v>
      </c>
      <c r="C32" s="42">
        <v>5.0</v>
      </c>
      <c r="D32" s="43">
        <v>5.0</v>
      </c>
      <c r="E32" s="44">
        <f t="shared" si="1"/>
        <v>20</v>
      </c>
    </row>
    <row r="33">
      <c r="A33" s="41" t="s">
        <v>147</v>
      </c>
      <c r="B33" s="42">
        <v>0.0</v>
      </c>
      <c r="C33" s="42">
        <v>6.0</v>
      </c>
      <c r="D33" s="43">
        <v>6.0</v>
      </c>
      <c r="E33" s="44">
        <f t="shared" si="1"/>
        <v>24</v>
      </c>
    </row>
    <row r="34">
      <c r="A34" s="41" t="s">
        <v>57</v>
      </c>
      <c r="B34" s="42">
        <v>0.0</v>
      </c>
      <c r="C34" s="42">
        <v>0.0</v>
      </c>
      <c r="D34" s="43">
        <v>0.0</v>
      </c>
      <c r="E34" s="44">
        <f t="shared" si="1"/>
        <v>0</v>
      </c>
    </row>
    <row r="35">
      <c r="A35" s="41" t="s">
        <v>59</v>
      </c>
      <c r="B35" s="42">
        <v>0.0</v>
      </c>
      <c r="C35" s="42">
        <v>0.0</v>
      </c>
      <c r="D35" s="43">
        <v>0.0</v>
      </c>
      <c r="E35" s="44">
        <f t="shared" si="1"/>
        <v>0</v>
      </c>
    </row>
    <row r="36">
      <c r="A36" s="41" t="s">
        <v>60</v>
      </c>
      <c r="B36" s="42">
        <v>0.0</v>
      </c>
      <c r="C36" s="42">
        <v>5.0</v>
      </c>
      <c r="D36" s="43">
        <v>5.0</v>
      </c>
      <c r="E36" s="44">
        <f t="shared" si="1"/>
        <v>20</v>
      </c>
    </row>
    <row r="37">
      <c r="A37" s="41" t="s">
        <v>61</v>
      </c>
      <c r="B37" s="42">
        <v>0.0</v>
      </c>
      <c r="C37" s="42">
        <v>0.0</v>
      </c>
      <c r="D37" s="43">
        <v>0.0</v>
      </c>
      <c r="E37" s="44">
        <f t="shared" si="1"/>
        <v>0</v>
      </c>
    </row>
    <row r="38">
      <c r="A38" s="41" t="s">
        <v>62</v>
      </c>
      <c r="B38" s="42">
        <v>0.0</v>
      </c>
      <c r="C38" s="42">
        <v>0.0</v>
      </c>
      <c r="D38" s="43">
        <v>0.0</v>
      </c>
      <c r="E38" s="44">
        <f t="shared" si="1"/>
        <v>0</v>
      </c>
    </row>
    <row r="39">
      <c r="A39" s="41" t="s">
        <v>63</v>
      </c>
      <c r="B39" s="42">
        <v>0.0</v>
      </c>
      <c r="C39" s="42">
        <v>0.0</v>
      </c>
      <c r="D39" s="43">
        <v>0.0</v>
      </c>
      <c r="E39" s="44">
        <f t="shared" si="1"/>
        <v>0</v>
      </c>
    </row>
    <row r="40">
      <c r="A40" s="41" t="s">
        <v>64</v>
      </c>
      <c r="B40" s="42">
        <v>6.0</v>
      </c>
      <c r="C40" s="42">
        <v>0.0</v>
      </c>
      <c r="D40" s="43">
        <v>6.0</v>
      </c>
      <c r="E40" s="44">
        <f t="shared" si="1"/>
        <v>30</v>
      </c>
    </row>
    <row r="41">
      <c r="A41" s="41" t="s">
        <v>65</v>
      </c>
      <c r="B41" s="42">
        <v>0.0</v>
      </c>
      <c r="C41" s="42">
        <v>4.0</v>
      </c>
      <c r="D41" s="43">
        <v>4.0</v>
      </c>
      <c r="E41" s="44">
        <f t="shared" si="1"/>
        <v>16</v>
      </c>
    </row>
    <row r="42">
      <c r="A42" s="41" t="s">
        <v>66</v>
      </c>
      <c r="B42" s="42">
        <v>3.0</v>
      </c>
      <c r="C42" s="42">
        <v>0.0</v>
      </c>
      <c r="D42" s="43">
        <v>3.0</v>
      </c>
      <c r="E42" s="44">
        <f t="shared" si="1"/>
        <v>15</v>
      </c>
    </row>
    <row r="43">
      <c r="A43" s="41" t="s">
        <v>67</v>
      </c>
      <c r="B43" s="42">
        <v>6.0</v>
      </c>
      <c r="C43" s="42">
        <v>0.0</v>
      </c>
      <c r="D43" s="43">
        <v>6.0</v>
      </c>
      <c r="E43" s="44">
        <f t="shared" si="1"/>
        <v>30</v>
      </c>
    </row>
    <row r="44">
      <c r="A44" s="41" t="s">
        <v>68</v>
      </c>
      <c r="B44" s="42">
        <v>0.0</v>
      </c>
      <c r="C44" s="42">
        <v>0.0</v>
      </c>
      <c r="D44" s="43">
        <v>0.0</v>
      </c>
      <c r="E44" s="44">
        <f t="shared" si="1"/>
        <v>0</v>
      </c>
    </row>
    <row r="45">
      <c r="A45" s="41" t="s">
        <v>148</v>
      </c>
      <c r="B45" s="42">
        <v>0.0</v>
      </c>
      <c r="C45" s="42">
        <v>5.0</v>
      </c>
      <c r="D45" s="43">
        <v>5.0</v>
      </c>
      <c r="E45" s="44">
        <f t="shared" si="1"/>
        <v>20</v>
      </c>
    </row>
    <row r="46">
      <c r="A46" s="41" t="s">
        <v>70</v>
      </c>
      <c r="B46" s="42">
        <v>0.0</v>
      </c>
      <c r="C46" s="42">
        <v>0.0</v>
      </c>
      <c r="D46" s="43">
        <v>0.0</v>
      </c>
      <c r="E46" s="44">
        <f t="shared" si="1"/>
        <v>0</v>
      </c>
    </row>
    <row r="47">
      <c r="A47" s="41" t="s">
        <v>71</v>
      </c>
      <c r="B47" s="42">
        <v>5.0</v>
      </c>
      <c r="C47" s="42">
        <v>0.0</v>
      </c>
      <c r="D47" s="43">
        <v>5.0</v>
      </c>
      <c r="E47" s="44">
        <f t="shared" si="1"/>
        <v>25</v>
      </c>
    </row>
    <row r="48">
      <c r="A48" s="41" t="s">
        <v>72</v>
      </c>
      <c r="B48" s="42">
        <v>6.0</v>
      </c>
      <c r="C48" s="42">
        <v>0.0</v>
      </c>
      <c r="D48" s="43">
        <v>6.0</v>
      </c>
      <c r="E48" s="44">
        <f t="shared" si="1"/>
        <v>30</v>
      </c>
    </row>
    <row r="49">
      <c r="A49" s="41" t="s">
        <v>73</v>
      </c>
      <c r="B49" s="42">
        <v>0.0</v>
      </c>
      <c r="C49" s="42">
        <v>0.0</v>
      </c>
      <c r="D49" s="43">
        <v>0.0</v>
      </c>
      <c r="E49" s="44">
        <f t="shared" si="1"/>
        <v>0</v>
      </c>
    </row>
    <row r="50">
      <c r="A50" s="41" t="s">
        <v>74</v>
      </c>
      <c r="B50" s="42">
        <v>0.0</v>
      </c>
      <c r="C50" s="42">
        <v>2.0</v>
      </c>
      <c r="D50" s="43">
        <v>2.0</v>
      </c>
      <c r="E50" s="44">
        <f t="shared" si="1"/>
        <v>8</v>
      </c>
    </row>
    <row r="51">
      <c r="A51" s="41" t="s">
        <v>75</v>
      </c>
      <c r="B51" s="42">
        <v>0.0</v>
      </c>
      <c r="C51" s="42">
        <v>2.0</v>
      </c>
      <c r="D51" s="43">
        <v>2.0</v>
      </c>
      <c r="E51" s="44">
        <f t="shared" si="1"/>
        <v>8</v>
      </c>
    </row>
    <row r="52">
      <c r="A52" s="41" t="s">
        <v>76</v>
      </c>
      <c r="B52" s="42">
        <v>0.0</v>
      </c>
      <c r="C52" s="42">
        <v>0.0</v>
      </c>
      <c r="D52" s="43">
        <v>0.0</v>
      </c>
      <c r="E52" s="44">
        <f t="shared" si="1"/>
        <v>0</v>
      </c>
    </row>
    <row r="53">
      <c r="A53" s="41" t="s">
        <v>77</v>
      </c>
      <c r="B53" s="42">
        <v>0.0</v>
      </c>
      <c r="C53" s="42">
        <v>0.0</v>
      </c>
      <c r="D53" s="43">
        <v>0.0</v>
      </c>
      <c r="E53" s="44">
        <f t="shared" si="1"/>
        <v>0</v>
      </c>
    </row>
    <row r="54">
      <c r="A54" s="41" t="s">
        <v>78</v>
      </c>
      <c r="B54" s="42">
        <v>0.0</v>
      </c>
      <c r="C54" s="42">
        <v>0.0</v>
      </c>
      <c r="D54" s="43">
        <v>0.0</v>
      </c>
      <c r="E54" s="44">
        <f t="shared" si="1"/>
        <v>0</v>
      </c>
    </row>
    <row r="55">
      <c r="A55" s="41" t="s">
        <v>79</v>
      </c>
      <c r="B55" s="42">
        <v>0.0</v>
      </c>
      <c r="C55" s="42">
        <v>7.0</v>
      </c>
      <c r="D55" s="43">
        <v>7.0</v>
      </c>
      <c r="E55" s="44">
        <f t="shared" si="1"/>
        <v>28</v>
      </c>
    </row>
    <row r="56">
      <c r="A56" s="41" t="s">
        <v>80</v>
      </c>
      <c r="B56" s="42">
        <v>0.0</v>
      </c>
      <c r="C56" s="42">
        <v>0.0</v>
      </c>
      <c r="D56" s="43">
        <v>0.0</v>
      </c>
      <c r="E56" s="44">
        <f t="shared" si="1"/>
        <v>0</v>
      </c>
    </row>
    <row r="57">
      <c r="A57" s="41" t="s">
        <v>81</v>
      </c>
      <c r="B57" s="42">
        <v>0.0</v>
      </c>
      <c r="C57" s="42">
        <v>0.0</v>
      </c>
      <c r="D57" s="43">
        <v>0.0</v>
      </c>
      <c r="E57" s="44">
        <f t="shared" si="1"/>
        <v>0</v>
      </c>
    </row>
    <row r="58">
      <c r="A58" s="41" t="s">
        <v>83</v>
      </c>
      <c r="B58" s="42">
        <v>0.0</v>
      </c>
      <c r="C58" s="42">
        <v>4.0</v>
      </c>
      <c r="D58" s="43">
        <v>4.0</v>
      </c>
      <c r="E58" s="44">
        <f t="shared" si="1"/>
        <v>16</v>
      </c>
    </row>
    <row r="59">
      <c r="A59" s="41" t="s">
        <v>84</v>
      </c>
      <c r="B59" s="42">
        <v>0.0</v>
      </c>
      <c r="C59" s="42">
        <v>0.0</v>
      </c>
      <c r="D59" s="43">
        <v>0.0</v>
      </c>
      <c r="E59" s="44">
        <f t="shared" si="1"/>
        <v>0</v>
      </c>
    </row>
    <row r="60">
      <c r="A60" s="41" t="s">
        <v>85</v>
      </c>
      <c r="B60" s="42">
        <v>6.0</v>
      </c>
      <c r="C60" s="42">
        <v>0.0</v>
      </c>
      <c r="D60" s="43">
        <v>6.0</v>
      </c>
      <c r="E60" s="44">
        <f t="shared" si="1"/>
        <v>30</v>
      </c>
    </row>
    <row r="61">
      <c r="A61" s="41" t="s">
        <v>86</v>
      </c>
      <c r="B61" s="42">
        <v>5.0</v>
      </c>
      <c r="C61" s="42">
        <v>0.0</v>
      </c>
      <c r="D61" s="43">
        <v>5.0</v>
      </c>
      <c r="E61" s="44">
        <f t="shared" si="1"/>
        <v>25</v>
      </c>
    </row>
    <row r="62">
      <c r="A62" s="41" t="s">
        <v>87</v>
      </c>
      <c r="B62" s="42">
        <v>0.0</v>
      </c>
      <c r="C62" s="42">
        <v>5.0</v>
      </c>
      <c r="D62" s="43">
        <v>5.0</v>
      </c>
      <c r="E62" s="44">
        <f t="shared" si="1"/>
        <v>20</v>
      </c>
    </row>
    <row r="63">
      <c r="A63" s="41" t="s">
        <v>88</v>
      </c>
      <c r="B63" s="42">
        <v>2.0</v>
      </c>
      <c r="C63" s="42">
        <v>2.0</v>
      </c>
      <c r="D63" s="43">
        <v>4.0</v>
      </c>
      <c r="E63" s="44">
        <f t="shared" si="1"/>
        <v>18</v>
      </c>
    </row>
    <row r="64">
      <c r="A64" s="41" t="s">
        <v>89</v>
      </c>
      <c r="B64" s="42">
        <v>6.0</v>
      </c>
      <c r="C64" s="42">
        <v>0.0</v>
      </c>
      <c r="D64" s="43">
        <v>6.0</v>
      </c>
      <c r="E64" s="44">
        <f t="shared" si="1"/>
        <v>30</v>
      </c>
    </row>
    <row r="65">
      <c r="A65" s="41" t="s">
        <v>91</v>
      </c>
      <c r="B65" s="42">
        <v>6.0</v>
      </c>
      <c r="C65" s="42">
        <v>0.0</v>
      </c>
      <c r="D65" s="43">
        <v>6.0</v>
      </c>
      <c r="E65" s="44">
        <f t="shared" si="1"/>
        <v>30</v>
      </c>
    </row>
    <row r="66">
      <c r="A66" s="41" t="s">
        <v>92</v>
      </c>
      <c r="B66" s="42">
        <v>0.0</v>
      </c>
      <c r="C66" s="42">
        <v>0.0</v>
      </c>
      <c r="D66" s="43">
        <v>0.0</v>
      </c>
      <c r="E66" s="44">
        <f t="shared" si="1"/>
        <v>0</v>
      </c>
    </row>
    <row r="67">
      <c r="A67" s="41" t="s">
        <v>93</v>
      </c>
      <c r="B67" s="42">
        <v>0.0</v>
      </c>
      <c r="C67" s="42">
        <v>0.0</v>
      </c>
      <c r="D67" s="43">
        <v>0.0</v>
      </c>
      <c r="E67" s="44">
        <f t="shared" si="1"/>
        <v>0</v>
      </c>
    </row>
    <row r="68">
      <c r="A68" s="41" t="s">
        <v>94</v>
      </c>
      <c r="B68" s="42">
        <v>0.0</v>
      </c>
      <c r="C68" s="42">
        <v>0.0</v>
      </c>
      <c r="D68" s="43">
        <v>0.0</v>
      </c>
      <c r="E68" s="44">
        <f t="shared" si="1"/>
        <v>0</v>
      </c>
    </row>
    <row r="69">
      <c r="A69" s="41" t="s">
        <v>95</v>
      </c>
      <c r="B69" s="42">
        <v>0.0</v>
      </c>
      <c r="C69" s="42">
        <v>0.0</v>
      </c>
      <c r="D69" s="43">
        <v>0.0</v>
      </c>
      <c r="E69" s="44">
        <f t="shared" si="1"/>
        <v>0</v>
      </c>
    </row>
    <row r="70">
      <c r="A70" s="41" t="s">
        <v>97</v>
      </c>
      <c r="B70" s="42">
        <v>0.0</v>
      </c>
      <c r="C70" s="42">
        <v>0.0</v>
      </c>
      <c r="D70" s="43">
        <v>0.0</v>
      </c>
      <c r="E70" s="44">
        <f t="shared" si="1"/>
        <v>0</v>
      </c>
    </row>
    <row r="71">
      <c r="A71" s="41" t="s">
        <v>98</v>
      </c>
      <c r="B71" s="42">
        <v>0.0</v>
      </c>
      <c r="C71" s="42">
        <v>1.0</v>
      </c>
      <c r="D71" s="43">
        <v>1.0</v>
      </c>
      <c r="E71" s="44">
        <f t="shared" si="1"/>
        <v>4</v>
      </c>
    </row>
    <row r="72">
      <c r="A72" s="41" t="s">
        <v>99</v>
      </c>
      <c r="B72" s="42">
        <v>0.0</v>
      </c>
      <c r="C72" s="42">
        <v>0.0</v>
      </c>
      <c r="D72" s="43">
        <v>0.0</v>
      </c>
      <c r="E72" s="44">
        <f t="shared" si="1"/>
        <v>0</v>
      </c>
    </row>
    <row r="73">
      <c r="A73" s="41" t="s">
        <v>100</v>
      </c>
      <c r="B73" s="42">
        <v>0.0</v>
      </c>
      <c r="C73" s="42">
        <v>0.0</v>
      </c>
      <c r="D73" s="43">
        <v>0.0</v>
      </c>
      <c r="E73" s="44">
        <f t="shared" si="1"/>
        <v>0</v>
      </c>
    </row>
    <row r="74">
      <c r="A74" s="41" t="s">
        <v>102</v>
      </c>
      <c r="B74" s="42">
        <v>6.0</v>
      </c>
      <c r="C74" s="42">
        <v>0.0</v>
      </c>
      <c r="D74" s="43">
        <v>6.0</v>
      </c>
      <c r="E74" s="44">
        <f t="shared" si="1"/>
        <v>30</v>
      </c>
    </row>
    <row r="75">
      <c r="A75" s="41" t="s">
        <v>103</v>
      </c>
      <c r="B75" s="42">
        <v>0.0</v>
      </c>
      <c r="C75" s="42">
        <v>2.0</v>
      </c>
      <c r="D75" s="43">
        <v>2.0</v>
      </c>
      <c r="E75" s="44">
        <f t="shared" si="1"/>
        <v>8</v>
      </c>
    </row>
    <row r="76">
      <c r="A76" s="41" t="s">
        <v>104</v>
      </c>
      <c r="B76" s="42">
        <v>0.0</v>
      </c>
      <c r="C76" s="42">
        <v>0.0</v>
      </c>
      <c r="D76" s="43">
        <v>0.0</v>
      </c>
      <c r="E76" s="44">
        <f t="shared" si="1"/>
        <v>0</v>
      </c>
    </row>
    <row r="77">
      <c r="A77" s="41" t="s">
        <v>106</v>
      </c>
      <c r="B77" s="42">
        <v>4.0</v>
      </c>
      <c r="C77" s="42">
        <v>0.0</v>
      </c>
      <c r="D77" s="43">
        <v>4.0</v>
      </c>
      <c r="E77" s="44">
        <f t="shared" si="1"/>
        <v>20</v>
      </c>
    </row>
    <row r="78">
      <c r="A78" s="41" t="s">
        <v>107</v>
      </c>
      <c r="B78" s="42">
        <v>0.0</v>
      </c>
      <c r="C78" s="42">
        <v>0.0</v>
      </c>
      <c r="D78" s="43">
        <v>0.0</v>
      </c>
      <c r="E78" s="44">
        <f t="shared" si="1"/>
        <v>0</v>
      </c>
    </row>
    <row r="79">
      <c r="A79" s="41" t="s">
        <v>108</v>
      </c>
      <c r="B79" s="42">
        <v>0.0</v>
      </c>
      <c r="C79" s="42">
        <v>0.0</v>
      </c>
      <c r="D79" s="43">
        <v>0.0</v>
      </c>
      <c r="E79" s="44">
        <f t="shared" si="1"/>
        <v>0</v>
      </c>
    </row>
    <row r="80">
      <c r="A80" s="41" t="s">
        <v>109</v>
      </c>
      <c r="B80" s="42">
        <v>0.0</v>
      </c>
      <c r="C80" s="42">
        <v>0.0</v>
      </c>
      <c r="D80" s="43">
        <v>0.0</v>
      </c>
      <c r="E80" s="44">
        <f t="shared" si="1"/>
        <v>0</v>
      </c>
    </row>
    <row r="81">
      <c r="A81" s="41" t="s">
        <v>111</v>
      </c>
      <c r="B81" s="42">
        <v>0.0</v>
      </c>
      <c r="C81" s="42">
        <v>0.0</v>
      </c>
      <c r="D81" s="43">
        <v>0.0</v>
      </c>
      <c r="E81" s="44">
        <f t="shared" si="1"/>
        <v>0</v>
      </c>
    </row>
    <row r="82">
      <c r="A82" s="41" t="s">
        <v>112</v>
      </c>
      <c r="B82" s="42">
        <v>0.0</v>
      </c>
      <c r="C82" s="42">
        <v>0.0</v>
      </c>
      <c r="D82" s="43">
        <v>0.0</v>
      </c>
      <c r="E82" s="44">
        <f t="shared" si="1"/>
        <v>0</v>
      </c>
    </row>
    <row r="83">
      <c r="A83" s="41" t="s">
        <v>113</v>
      </c>
      <c r="B83" s="42">
        <v>3.0</v>
      </c>
      <c r="C83" s="42">
        <v>0.0</v>
      </c>
      <c r="D83" s="43">
        <v>3.0</v>
      </c>
      <c r="E83" s="44">
        <f t="shared" si="1"/>
        <v>15</v>
      </c>
    </row>
    <row r="84">
      <c r="A84" s="41" t="s">
        <v>114</v>
      </c>
      <c r="B84" s="42">
        <v>0.0</v>
      </c>
      <c r="C84" s="42">
        <v>0.0</v>
      </c>
      <c r="D84" s="43">
        <v>0.0</v>
      </c>
      <c r="E84" s="44">
        <f t="shared" si="1"/>
        <v>0</v>
      </c>
    </row>
    <row r="85">
      <c r="A85" s="41" t="s">
        <v>115</v>
      </c>
      <c r="B85" s="42">
        <v>4.0</v>
      </c>
      <c r="C85" s="42">
        <v>0.0</v>
      </c>
      <c r="D85" s="43">
        <v>4.0</v>
      </c>
      <c r="E85" s="44">
        <f t="shared" si="1"/>
        <v>20</v>
      </c>
    </row>
    <row r="86">
      <c r="A86" s="41" t="s">
        <v>149</v>
      </c>
      <c r="B86" s="42">
        <v>0.0</v>
      </c>
      <c r="C86" s="42">
        <v>0.0</v>
      </c>
      <c r="D86" s="43">
        <v>0.0</v>
      </c>
      <c r="E86" s="44">
        <f t="shared" si="1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45" t="s">
        <v>0</v>
      </c>
      <c r="B1" s="45" t="s">
        <v>153</v>
      </c>
    </row>
    <row r="2">
      <c r="A2" s="46" t="s">
        <v>113</v>
      </c>
      <c r="B2" s="46">
        <v>-162.6</v>
      </c>
    </row>
    <row r="3">
      <c r="A3" s="46" t="s">
        <v>91</v>
      </c>
      <c r="B3" s="46">
        <f>-137-106.1</f>
        <v>-243.1</v>
      </c>
    </row>
    <row r="4">
      <c r="A4" s="46" t="s">
        <v>68</v>
      </c>
      <c r="B4" s="46">
        <v>-103.4</v>
      </c>
    </row>
    <row r="5">
      <c r="A5" s="46" t="s">
        <v>49</v>
      </c>
      <c r="B5" s="46">
        <v>-90.6</v>
      </c>
    </row>
    <row r="6">
      <c r="A6" s="46" t="s">
        <v>54</v>
      </c>
      <c r="B6" s="46">
        <v>-73.6</v>
      </c>
    </row>
    <row r="7">
      <c r="A7" s="46" t="s">
        <v>77</v>
      </c>
      <c r="B7" s="46">
        <v>-11.49</v>
      </c>
    </row>
    <row r="8">
      <c r="A8" s="46" t="s">
        <v>81</v>
      </c>
      <c r="B8" s="46">
        <v>-208.8</v>
      </c>
    </row>
    <row r="10">
      <c r="B10" s="44">
        <f>SUM(B2:B8)</f>
        <v>-893.59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2.63"/>
  </cols>
  <sheetData>
    <row r="1">
      <c r="A1" s="47" t="s">
        <v>0</v>
      </c>
      <c r="B1" s="48" t="s">
        <v>154</v>
      </c>
      <c r="C1" s="48" t="s">
        <v>155</v>
      </c>
      <c r="D1" s="48" t="s">
        <v>156</v>
      </c>
      <c r="E1" s="48" t="s">
        <v>157</v>
      </c>
      <c r="F1" s="45" t="s">
        <v>2</v>
      </c>
    </row>
    <row r="2">
      <c r="A2" s="49" t="s">
        <v>98</v>
      </c>
      <c r="B2" s="50">
        <v>-195.0</v>
      </c>
      <c r="C2" s="51">
        <v>3.0</v>
      </c>
      <c r="D2" s="51">
        <v>4.0</v>
      </c>
      <c r="E2" s="51">
        <v>6.0</v>
      </c>
      <c r="F2" s="52"/>
    </row>
    <row r="3">
      <c r="A3" s="49" t="s">
        <v>158</v>
      </c>
      <c r="B3" s="53">
        <v>-300.0</v>
      </c>
      <c r="C3" s="51">
        <v>5.0</v>
      </c>
      <c r="D3" s="51">
        <v>9.0</v>
      </c>
      <c r="E3" s="51">
        <v>6.0</v>
      </c>
      <c r="F3" s="46" t="s">
        <v>5</v>
      </c>
    </row>
    <row r="4">
      <c r="A4" s="49" t="s">
        <v>159</v>
      </c>
      <c r="B4" s="53">
        <v>-210.0</v>
      </c>
      <c r="C4" s="51">
        <v>4.0</v>
      </c>
      <c r="D4" s="51">
        <v>7.0</v>
      </c>
      <c r="E4" s="51">
        <v>3.0</v>
      </c>
      <c r="F4" s="46" t="s">
        <v>5</v>
      </c>
    </row>
    <row r="5">
      <c r="A5" s="49" t="s">
        <v>77</v>
      </c>
      <c r="B5" s="53">
        <v>-120.0</v>
      </c>
      <c r="C5" s="51">
        <v>1.0</v>
      </c>
      <c r="D5" s="51">
        <v>3.0</v>
      </c>
      <c r="E5" s="51">
        <v>4.0</v>
      </c>
      <c r="F5" s="52"/>
    </row>
    <row r="6">
      <c r="A6" s="49" t="s">
        <v>91</v>
      </c>
      <c r="B6" s="53">
        <v>-15.0</v>
      </c>
      <c r="C6" s="51">
        <v>1.0</v>
      </c>
      <c r="D6" s="54"/>
      <c r="E6" s="54"/>
      <c r="F6" s="52"/>
    </row>
    <row r="7">
      <c r="A7" s="49" t="s">
        <v>71</v>
      </c>
      <c r="B7" s="53">
        <v>-120.0</v>
      </c>
      <c r="C7" s="51">
        <v>2.0</v>
      </c>
      <c r="D7" s="54"/>
      <c r="E7" s="51">
        <v>6.0</v>
      </c>
      <c r="F7" s="52"/>
    </row>
    <row r="8">
      <c r="A8" s="49" t="s">
        <v>92</v>
      </c>
      <c r="B8" s="53">
        <v>-60.0</v>
      </c>
      <c r="C8" s="51">
        <v>1.0</v>
      </c>
      <c r="D8" s="54"/>
      <c r="E8" s="51">
        <v>3.0</v>
      </c>
      <c r="F8" s="52"/>
    </row>
    <row r="9">
      <c r="A9" s="49" t="s">
        <v>160</v>
      </c>
      <c r="B9" s="53">
        <v>-60.0</v>
      </c>
      <c r="C9" s="54"/>
      <c r="D9" s="51">
        <v>1.0</v>
      </c>
      <c r="E9" s="51">
        <v>3.0</v>
      </c>
      <c r="F9" s="46" t="s">
        <v>5</v>
      </c>
    </row>
    <row r="10">
      <c r="A10" s="49" t="s">
        <v>161</v>
      </c>
      <c r="B10" s="55">
        <v>-45.0</v>
      </c>
      <c r="C10" s="54"/>
      <c r="D10" s="51">
        <v>1.0</v>
      </c>
      <c r="E10" s="55">
        <v>2.0</v>
      </c>
      <c r="F10" s="52"/>
      <c r="G10" s="56" t="s">
        <v>162</v>
      </c>
    </row>
    <row r="11">
      <c r="A11" s="49" t="s">
        <v>72</v>
      </c>
      <c r="B11" s="53">
        <v>-90.0</v>
      </c>
      <c r="C11" s="54"/>
      <c r="D11" s="54"/>
      <c r="E11" s="51">
        <v>6.0</v>
      </c>
      <c r="F11" s="52"/>
    </row>
    <row r="12">
      <c r="A12" s="49" t="s">
        <v>113</v>
      </c>
      <c r="B12" s="55">
        <v>-75.0</v>
      </c>
      <c r="C12" s="57">
        <v>1.0</v>
      </c>
      <c r="D12" s="51">
        <v>1.0</v>
      </c>
      <c r="E12" s="55">
        <v>3.0</v>
      </c>
      <c r="F12" s="52"/>
      <c r="G12" s="56" t="s">
        <v>162</v>
      </c>
    </row>
    <row r="13">
      <c r="A13" s="49" t="s">
        <v>163</v>
      </c>
      <c r="B13" s="53">
        <v>-30.0</v>
      </c>
      <c r="C13" s="54"/>
      <c r="D13" s="54"/>
      <c r="E13" s="51">
        <v>2.0</v>
      </c>
      <c r="F13" s="52"/>
    </row>
    <row r="14">
      <c r="A14" s="49" t="s">
        <v>164</v>
      </c>
      <c r="B14" s="53">
        <v>-30.0</v>
      </c>
      <c r="C14" s="54"/>
      <c r="D14" s="54"/>
      <c r="E14" s="51">
        <v>2.0</v>
      </c>
      <c r="F14" s="46" t="s">
        <v>5</v>
      </c>
    </row>
    <row r="15">
      <c r="A15" s="49" t="s">
        <v>165</v>
      </c>
      <c r="B15" s="53">
        <v>-15.0</v>
      </c>
      <c r="C15" s="54"/>
      <c r="D15" s="54"/>
      <c r="E15" s="51">
        <v>1.0</v>
      </c>
      <c r="F15" s="46" t="s">
        <v>5</v>
      </c>
    </row>
    <row r="16">
      <c r="A16" s="49" t="s">
        <v>100</v>
      </c>
      <c r="B16" s="53">
        <v>-45.0</v>
      </c>
      <c r="C16" s="54"/>
      <c r="D16" s="54"/>
      <c r="E16" s="51">
        <v>3.0</v>
      </c>
      <c r="F16" s="52"/>
    </row>
    <row r="17">
      <c r="A17" s="49" t="s">
        <v>166</v>
      </c>
      <c r="B17" s="53">
        <v>-45.0</v>
      </c>
      <c r="C17" s="54"/>
      <c r="D17" s="54"/>
      <c r="E17" s="51">
        <v>3.0</v>
      </c>
      <c r="F17" s="52"/>
    </row>
    <row r="18">
      <c r="A18" s="49" t="s">
        <v>42</v>
      </c>
      <c r="B18" s="53">
        <v>-60.0</v>
      </c>
      <c r="C18" s="54"/>
      <c r="D18" s="54"/>
      <c r="E18" s="51">
        <v>4.0</v>
      </c>
      <c r="F18" s="52"/>
    </row>
    <row r="19">
      <c r="A19" s="49" t="s">
        <v>88</v>
      </c>
      <c r="B19" s="53">
        <v>-15.0</v>
      </c>
      <c r="C19" s="54"/>
      <c r="D19" s="54"/>
      <c r="E19" s="51">
        <v>1.0</v>
      </c>
      <c r="F19" s="52"/>
    </row>
    <row r="20">
      <c r="A20" s="49" t="s">
        <v>167</v>
      </c>
      <c r="B20" s="53">
        <v>-15.0</v>
      </c>
      <c r="C20" s="54"/>
      <c r="D20" s="54"/>
      <c r="E20" s="51">
        <v>1.0</v>
      </c>
      <c r="F20" s="46" t="s">
        <v>5</v>
      </c>
    </row>
    <row r="21">
      <c r="A21" s="49" t="s">
        <v>168</v>
      </c>
      <c r="B21" s="53">
        <v>-45.0</v>
      </c>
      <c r="C21" s="54"/>
      <c r="D21" s="54"/>
      <c r="E21" s="51">
        <v>3.0</v>
      </c>
      <c r="F21" s="52"/>
    </row>
    <row r="22">
      <c r="A22" s="49" t="s">
        <v>169</v>
      </c>
      <c r="B22" s="53">
        <v>-15.0</v>
      </c>
      <c r="C22" s="54"/>
      <c r="D22" s="54"/>
      <c r="E22" s="51">
        <v>1.0</v>
      </c>
      <c r="F22" s="46" t="s">
        <v>5</v>
      </c>
    </row>
    <row r="23">
      <c r="A23" s="49" t="s">
        <v>170</v>
      </c>
      <c r="B23" s="53">
        <v>-15.0</v>
      </c>
      <c r="C23" s="54"/>
      <c r="D23" s="54"/>
      <c r="E23" s="51">
        <v>1.0</v>
      </c>
      <c r="F23" s="52"/>
    </row>
    <row r="24">
      <c r="A24" s="49" t="s">
        <v>171</v>
      </c>
      <c r="B24" s="53">
        <v>-15.0</v>
      </c>
      <c r="C24" s="54"/>
      <c r="D24" s="54"/>
      <c r="E24" s="51">
        <v>1.0</v>
      </c>
      <c r="F24" s="52"/>
    </row>
    <row r="26">
      <c r="A26" s="56" t="s">
        <v>172</v>
      </c>
      <c r="B26" s="44">
        <f>SUM(B2:B24)-B3-B4-B14-B15-B20-B22-B9</f>
        <v>-990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8" max="8" width="24.75"/>
  </cols>
  <sheetData>
    <row r="1">
      <c r="A1" s="58" t="s">
        <v>0</v>
      </c>
      <c r="B1" s="58" t="s">
        <v>173</v>
      </c>
      <c r="C1" s="58" t="s">
        <v>174</v>
      </c>
      <c r="D1" s="58" t="s">
        <v>175</v>
      </c>
      <c r="E1" s="45" t="s">
        <v>176</v>
      </c>
      <c r="H1" s="4"/>
    </row>
    <row r="2">
      <c r="A2" s="58"/>
      <c r="B2" s="58"/>
      <c r="C2" s="58"/>
      <c r="D2" s="58"/>
      <c r="E2" s="45"/>
      <c r="H2" s="4"/>
    </row>
    <row r="3">
      <c r="A3" s="59" t="s">
        <v>177</v>
      </c>
      <c r="B3" s="60">
        <v>1.0</v>
      </c>
      <c r="C3" s="60">
        <v>1.0</v>
      </c>
      <c r="D3" s="60">
        <v>1.0</v>
      </c>
      <c r="E3" s="61">
        <f t="shared" ref="E3:E85" si="1">(B3+C3)*$H$3+D3*$H$4</f>
        <v>87</v>
      </c>
      <c r="G3" s="56" t="s">
        <v>178</v>
      </c>
      <c r="H3" s="62">
        <v>32.5</v>
      </c>
    </row>
    <row r="4">
      <c r="A4" s="59"/>
      <c r="B4" s="60"/>
      <c r="C4" s="60"/>
      <c r="D4" s="60"/>
      <c r="E4" s="61">
        <f t="shared" si="1"/>
        <v>0</v>
      </c>
      <c r="G4" s="56" t="s">
        <v>179</v>
      </c>
      <c r="H4" s="63">
        <v>22.0</v>
      </c>
    </row>
    <row r="5">
      <c r="A5" s="59"/>
      <c r="B5" s="60"/>
      <c r="C5" s="60"/>
      <c r="D5" s="60"/>
      <c r="E5" s="61">
        <f t="shared" si="1"/>
        <v>0</v>
      </c>
      <c r="G5" s="56"/>
      <c r="H5" s="4"/>
    </row>
    <row r="6">
      <c r="A6" s="59" t="s">
        <v>180</v>
      </c>
      <c r="B6" s="60">
        <v>1.0</v>
      </c>
      <c r="C6" s="60">
        <v>1.0</v>
      </c>
      <c r="D6" s="64"/>
      <c r="E6" s="61">
        <f t="shared" si="1"/>
        <v>65</v>
      </c>
      <c r="H6" s="4"/>
    </row>
    <row r="7">
      <c r="A7" s="59" t="s">
        <v>16</v>
      </c>
      <c r="B7" s="60">
        <v>1.0</v>
      </c>
      <c r="C7" s="60">
        <v>1.0</v>
      </c>
      <c r="D7" s="64"/>
      <c r="E7" s="61">
        <f t="shared" si="1"/>
        <v>65</v>
      </c>
      <c r="H7" s="4"/>
    </row>
    <row r="8">
      <c r="A8" s="59" t="s">
        <v>19</v>
      </c>
      <c r="B8" s="60">
        <v>1.0</v>
      </c>
      <c r="C8" s="60">
        <v>1.0</v>
      </c>
      <c r="D8" s="60">
        <v>1.0</v>
      </c>
      <c r="E8" s="61">
        <f t="shared" si="1"/>
        <v>87</v>
      </c>
      <c r="H8" s="4"/>
    </row>
    <row r="9">
      <c r="A9" s="59" t="s">
        <v>181</v>
      </c>
      <c r="B9" s="60">
        <v>1.0</v>
      </c>
      <c r="C9" s="65">
        <v>1.0</v>
      </c>
      <c r="D9" s="65">
        <v>1.0</v>
      </c>
      <c r="E9" s="61">
        <f t="shared" si="1"/>
        <v>87</v>
      </c>
      <c r="H9" s="4"/>
    </row>
    <row r="10">
      <c r="A10" s="59" t="s">
        <v>24</v>
      </c>
      <c r="B10" s="60">
        <v>1.0</v>
      </c>
      <c r="C10" s="64"/>
      <c r="D10" s="64"/>
      <c r="E10" s="61">
        <f t="shared" si="1"/>
        <v>32.5</v>
      </c>
      <c r="H10" s="4"/>
    </row>
    <row r="11">
      <c r="A11" s="59" t="s">
        <v>182</v>
      </c>
      <c r="B11" s="60"/>
      <c r="C11" s="64"/>
      <c r="D11" s="64"/>
      <c r="E11" s="61">
        <f t="shared" si="1"/>
        <v>0</v>
      </c>
      <c r="H11" s="4"/>
    </row>
    <row r="12">
      <c r="A12" s="59" t="s">
        <v>27</v>
      </c>
      <c r="B12" s="60">
        <v>1.0</v>
      </c>
      <c r="C12" s="64"/>
      <c r="D12" s="64"/>
      <c r="E12" s="61">
        <f t="shared" si="1"/>
        <v>32.5</v>
      </c>
      <c r="H12" s="4"/>
    </row>
    <row r="13">
      <c r="A13" s="59" t="s">
        <v>183</v>
      </c>
      <c r="B13" s="60">
        <v>1.0</v>
      </c>
      <c r="C13" s="64"/>
      <c r="D13" s="64"/>
      <c r="E13" s="61">
        <f t="shared" si="1"/>
        <v>32.5</v>
      </c>
      <c r="H13" s="4"/>
    </row>
    <row r="14">
      <c r="A14" s="59"/>
      <c r="B14" s="60"/>
      <c r="C14" s="64"/>
      <c r="D14" s="64"/>
      <c r="E14" s="61">
        <f t="shared" si="1"/>
        <v>0</v>
      </c>
      <c r="H14" s="4"/>
    </row>
    <row r="15">
      <c r="A15" s="59" t="s">
        <v>184</v>
      </c>
      <c r="B15" s="60">
        <v>1.0</v>
      </c>
      <c r="C15" s="60">
        <v>1.0</v>
      </c>
      <c r="D15" s="60">
        <v>1.0</v>
      </c>
      <c r="E15" s="61">
        <f t="shared" si="1"/>
        <v>87</v>
      </c>
      <c r="H15" s="4"/>
    </row>
    <row r="16">
      <c r="A16" s="59" t="s">
        <v>185</v>
      </c>
      <c r="B16" s="60">
        <v>1.0</v>
      </c>
      <c r="C16" s="60">
        <v>1.0</v>
      </c>
      <c r="D16" s="60">
        <v>1.0</v>
      </c>
      <c r="E16" s="61">
        <f t="shared" si="1"/>
        <v>87</v>
      </c>
      <c r="H16" s="4"/>
    </row>
    <row r="17">
      <c r="A17" s="59" t="s">
        <v>37</v>
      </c>
      <c r="B17" s="60">
        <v>1.0</v>
      </c>
      <c r="C17" s="65">
        <v>1.0</v>
      </c>
      <c r="D17" s="65">
        <v>1.0</v>
      </c>
      <c r="E17" s="61">
        <f t="shared" si="1"/>
        <v>87</v>
      </c>
      <c r="H17" s="4"/>
    </row>
    <row r="18">
      <c r="A18" s="59" t="s">
        <v>39</v>
      </c>
      <c r="B18" s="60">
        <v>1.0</v>
      </c>
      <c r="C18" s="64"/>
      <c r="D18" s="64"/>
      <c r="E18" s="61">
        <f t="shared" si="1"/>
        <v>32.5</v>
      </c>
      <c r="H18" s="4"/>
    </row>
    <row r="19">
      <c r="A19" s="59" t="s">
        <v>40</v>
      </c>
      <c r="B19" s="60">
        <v>1.0</v>
      </c>
      <c r="C19" s="59"/>
      <c r="D19" s="59"/>
      <c r="E19" s="61">
        <f t="shared" si="1"/>
        <v>32.5</v>
      </c>
      <c r="H19" s="4"/>
    </row>
    <row r="20">
      <c r="A20" s="59"/>
      <c r="B20" s="60"/>
      <c r="C20" s="59"/>
      <c r="D20" s="59"/>
      <c r="E20" s="61">
        <f t="shared" si="1"/>
        <v>0</v>
      </c>
      <c r="H20" s="4"/>
    </row>
    <row r="21">
      <c r="A21" s="59" t="s">
        <v>42</v>
      </c>
      <c r="B21" s="60">
        <v>1.0</v>
      </c>
      <c r="C21" s="60">
        <v>1.0</v>
      </c>
      <c r="D21" s="64"/>
      <c r="E21" s="61">
        <f t="shared" si="1"/>
        <v>65</v>
      </c>
      <c r="H21" s="4"/>
    </row>
    <row r="22">
      <c r="A22" s="59" t="s">
        <v>43</v>
      </c>
      <c r="B22" s="60">
        <v>1.0</v>
      </c>
      <c r="C22" s="60">
        <v>1.0</v>
      </c>
      <c r="D22" s="60">
        <v>1.0</v>
      </c>
      <c r="E22" s="61">
        <f t="shared" si="1"/>
        <v>87</v>
      </c>
      <c r="H22" s="4"/>
    </row>
    <row r="23">
      <c r="A23" s="59" t="s">
        <v>44</v>
      </c>
      <c r="B23" s="60">
        <v>1.0</v>
      </c>
      <c r="C23" s="65">
        <v>1.0</v>
      </c>
      <c r="D23" s="65">
        <v>1.0</v>
      </c>
      <c r="E23" s="61">
        <f t="shared" si="1"/>
        <v>87</v>
      </c>
      <c r="H23" s="4"/>
    </row>
    <row r="24">
      <c r="A24" s="59"/>
      <c r="B24" s="60"/>
      <c r="C24" s="65"/>
      <c r="D24" s="65"/>
      <c r="E24" s="61">
        <f t="shared" si="1"/>
        <v>0</v>
      </c>
      <c r="H24" s="4"/>
    </row>
    <row r="25">
      <c r="A25" s="59" t="s">
        <v>46</v>
      </c>
      <c r="B25" s="60">
        <v>1.0</v>
      </c>
      <c r="C25" s="60">
        <v>1.0</v>
      </c>
      <c r="D25" s="60">
        <v>1.0</v>
      </c>
      <c r="E25" s="61">
        <f t="shared" si="1"/>
        <v>87</v>
      </c>
      <c r="H25" s="4"/>
    </row>
    <row r="26">
      <c r="A26" s="59"/>
      <c r="B26" s="60"/>
      <c r="C26" s="60"/>
      <c r="D26" s="60"/>
      <c r="E26" s="61">
        <f t="shared" si="1"/>
        <v>0</v>
      </c>
      <c r="H26" s="4"/>
    </row>
    <row r="27">
      <c r="A27" s="59" t="s">
        <v>48</v>
      </c>
      <c r="B27" s="60">
        <v>1.0</v>
      </c>
      <c r="C27" s="64"/>
      <c r="D27" s="64"/>
      <c r="E27" s="61">
        <f t="shared" si="1"/>
        <v>32.5</v>
      </c>
      <c r="H27" s="4"/>
    </row>
    <row r="28">
      <c r="A28" s="65" t="s">
        <v>49</v>
      </c>
      <c r="B28" s="60">
        <v>1.0</v>
      </c>
      <c r="C28" s="59"/>
      <c r="D28" s="59"/>
      <c r="E28" s="61">
        <f t="shared" si="1"/>
        <v>32.5</v>
      </c>
      <c r="H28" s="4"/>
    </row>
    <row r="29">
      <c r="A29" s="59" t="s">
        <v>186</v>
      </c>
      <c r="B29" s="60">
        <v>1.0</v>
      </c>
      <c r="C29" s="64"/>
      <c r="D29" s="64"/>
      <c r="E29" s="61">
        <f t="shared" si="1"/>
        <v>32.5</v>
      </c>
      <c r="H29" s="4"/>
    </row>
    <row r="30">
      <c r="A30" s="59" t="s">
        <v>187</v>
      </c>
      <c r="B30" s="60">
        <v>1.0</v>
      </c>
      <c r="C30" s="60">
        <v>1.0</v>
      </c>
      <c r="D30" s="60">
        <v>1.0</v>
      </c>
      <c r="E30" s="61">
        <f t="shared" si="1"/>
        <v>87</v>
      </c>
      <c r="H30" s="4"/>
    </row>
    <row r="31">
      <c r="A31" s="65" t="s">
        <v>53</v>
      </c>
      <c r="B31" s="60">
        <v>1.0</v>
      </c>
      <c r="C31" s="60">
        <v>1.0</v>
      </c>
      <c r="D31" s="60">
        <v>1.0</v>
      </c>
      <c r="E31" s="61">
        <f t="shared" si="1"/>
        <v>87</v>
      </c>
      <c r="H31" s="4"/>
    </row>
    <row r="32">
      <c r="A32" s="59" t="s">
        <v>54</v>
      </c>
      <c r="B32" s="60">
        <v>1.0</v>
      </c>
      <c r="C32" s="64"/>
      <c r="D32" s="64"/>
      <c r="E32" s="61">
        <f t="shared" si="1"/>
        <v>32.5</v>
      </c>
      <c r="H32" s="4"/>
    </row>
    <row r="33">
      <c r="A33" s="66" t="s">
        <v>55</v>
      </c>
      <c r="B33" s="60">
        <v>1.0</v>
      </c>
      <c r="C33" s="64"/>
      <c r="D33" s="64"/>
      <c r="E33" s="61">
        <f t="shared" si="1"/>
        <v>32.5</v>
      </c>
      <c r="H33" s="4"/>
    </row>
    <row r="34">
      <c r="A34" s="66" t="s">
        <v>57</v>
      </c>
      <c r="B34" s="60">
        <v>1.0</v>
      </c>
      <c r="C34" s="60">
        <v>1.0</v>
      </c>
      <c r="D34" s="60">
        <v>1.0</v>
      </c>
      <c r="E34" s="61">
        <f t="shared" si="1"/>
        <v>87</v>
      </c>
      <c r="H34" s="4"/>
    </row>
    <row r="35">
      <c r="A35" s="59" t="s">
        <v>59</v>
      </c>
      <c r="B35" s="60">
        <v>1.0</v>
      </c>
      <c r="C35" s="64"/>
      <c r="D35" s="64"/>
      <c r="E35" s="61">
        <f t="shared" si="1"/>
        <v>32.5</v>
      </c>
      <c r="H35" s="4"/>
    </row>
    <row r="36">
      <c r="A36" s="59" t="s">
        <v>60</v>
      </c>
      <c r="B36" s="60">
        <v>1.0</v>
      </c>
      <c r="C36" s="64"/>
      <c r="D36" s="64"/>
      <c r="E36" s="61">
        <f t="shared" si="1"/>
        <v>32.5</v>
      </c>
      <c r="H36" s="4"/>
    </row>
    <row r="37">
      <c r="A37" s="59" t="s">
        <v>61</v>
      </c>
      <c r="B37" s="60">
        <v>1.0</v>
      </c>
      <c r="C37" s="64"/>
      <c r="D37" s="64"/>
      <c r="E37" s="61">
        <f t="shared" si="1"/>
        <v>32.5</v>
      </c>
      <c r="H37" s="4"/>
    </row>
    <row r="38">
      <c r="A38" s="59" t="s">
        <v>188</v>
      </c>
      <c r="B38" s="60">
        <v>1.0</v>
      </c>
      <c r="C38" s="59"/>
      <c r="D38" s="59"/>
      <c r="E38" s="61">
        <f t="shared" si="1"/>
        <v>32.5</v>
      </c>
      <c r="H38" s="4"/>
    </row>
    <row r="39">
      <c r="A39" s="59"/>
      <c r="B39" s="60"/>
      <c r="C39" s="59"/>
      <c r="D39" s="59"/>
      <c r="E39" s="61">
        <f t="shared" si="1"/>
        <v>0</v>
      </c>
      <c r="H39" s="4"/>
    </row>
    <row r="40">
      <c r="A40" s="59" t="s">
        <v>64</v>
      </c>
      <c r="B40" s="60">
        <v>1.0</v>
      </c>
      <c r="C40" s="64"/>
      <c r="D40" s="64"/>
      <c r="E40" s="61">
        <f t="shared" si="1"/>
        <v>32.5</v>
      </c>
      <c r="H40" s="4"/>
    </row>
    <row r="41">
      <c r="A41" s="59" t="s">
        <v>65</v>
      </c>
      <c r="B41" s="60">
        <v>1.0</v>
      </c>
      <c r="C41" s="65">
        <v>1.0</v>
      </c>
      <c r="D41" s="65">
        <v>1.0</v>
      </c>
      <c r="E41" s="61">
        <f t="shared" si="1"/>
        <v>87</v>
      </c>
      <c r="H41" s="4"/>
    </row>
    <row r="42">
      <c r="A42" s="59" t="s">
        <v>189</v>
      </c>
      <c r="B42" s="60">
        <v>1.0</v>
      </c>
      <c r="C42" s="60">
        <v>1.0</v>
      </c>
      <c r="D42" s="60">
        <v>1.0</v>
      </c>
      <c r="E42" s="61">
        <f t="shared" si="1"/>
        <v>87</v>
      </c>
      <c r="H42" s="4"/>
    </row>
    <row r="43">
      <c r="A43" s="59" t="s">
        <v>67</v>
      </c>
      <c r="B43" s="60">
        <v>1.0</v>
      </c>
      <c r="C43" s="60">
        <v>1.0</v>
      </c>
      <c r="D43" s="60">
        <v>1.0</v>
      </c>
      <c r="E43" s="61">
        <f t="shared" si="1"/>
        <v>87</v>
      </c>
      <c r="H43" s="4"/>
    </row>
    <row r="44">
      <c r="A44" s="59" t="s">
        <v>190</v>
      </c>
      <c r="B44" s="60">
        <v>1.0</v>
      </c>
      <c r="C44" s="64"/>
      <c r="D44" s="64"/>
      <c r="E44" s="61">
        <f t="shared" si="1"/>
        <v>32.5</v>
      </c>
      <c r="H44" s="4"/>
    </row>
    <row r="45">
      <c r="A45" s="59" t="s">
        <v>69</v>
      </c>
      <c r="B45" s="60">
        <v>1.0</v>
      </c>
      <c r="C45" s="64"/>
      <c r="D45" s="64"/>
      <c r="E45" s="61">
        <f t="shared" si="1"/>
        <v>32.5</v>
      </c>
      <c r="H45" s="4"/>
    </row>
    <row r="46">
      <c r="A46" s="59" t="s">
        <v>70</v>
      </c>
      <c r="B46" s="60">
        <v>1.0</v>
      </c>
      <c r="C46" s="59"/>
      <c r="D46" s="59"/>
      <c r="E46" s="61">
        <f t="shared" si="1"/>
        <v>32.5</v>
      </c>
      <c r="H46" s="4"/>
    </row>
    <row r="47">
      <c r="A47" s="59" t="s">
        <v>71</v>
      </c>
      <c r="B47" s="60">
        <v>1.0</v>
      </c>
      <c r="C47" s="59"/>
      <c r="D47" s="59"/>
      <c r="E47" s="61">
        <f t="shared" si="1"/>
        <v>32.5</v>
      </c>
      <c r="H47" s="4"/>
    </row>
    <row r="48">
      <c r="A48" s="59" t="s">
        <v>72</v>
      </c>
      <c r="B48" s="60">
        <v>1.0</v>
      </c>
      <c r="C48" s="64"/>
      <c r="D48" s="64"/>
      <c r="E48" s="61">
        <f t="shared" si="1"/>
        <v>32.5</v>
      </c>
      <c r="H48" s="4"/>
    </row>
    <row r="49">
      <c r="A49" s="64" t="s">
        <v>191</v>
      </c>
      <c r="B49" s="60">
        <v>1.0</v>
      </c>
      <c r="C49" s="64"/>
      <c r="D49" s="64"/>
      <c r="E49" s="61">
        <f t="shared" si="1"/>
        <v>32.5</v>
      </c>
      <c r="H49" s="4"/>
    </row>
    <row r="50">
      <c r="A50" s="65" t="s">
        <v>74</v>
      </c>
      <c r="B50" s="60">
        <v>1.0</v>
      </c>
      <c r="C50" s="65">
        <v>1.0</v>
      </c>
      <c r="D50" s="65">
        <v>1.0</v>
      </c>
      <c r="E50" s="61">
        <f t="shared" si="1"/>
        <v>87</v>
      </c>
      <c r="H50" s="4"/>
    </row>
    <row r="51">
      <c r="A51" s="59" t="s">
        <v>75</v>
      </c>
      <c r="B51" s="60">
        <v>1.0</v>
      </c>
      <c r="C51" s="64"/>
      <c r="D51" s="64"/>
      <c r="E51" s="61">
        <f t="shared" si="1"/>
        <v>32.5</v>
      </c>
      <c r="H51" s="4"/>
    </row>
    <row r="52">
      <c r="A52" s="59" t="s">
        <v>192</v>
      </c>
      <c r="B52" s="60">
        <v>1.0</v>
      </c>
      <c r="C52" s="60">
        <v>1.0</v>
      </c>
      <c r="D52" s="60">
        <v>1.0</v>
      </c>
      <c r="E52" s="61">
        <f t="shared" si="1"/>
        <v>87</v>
      </c>
      <c r="H52" s="4"/>
    </row>
    <row r="53">
      <c r="A53" s="59" t="s">
        <v>193</v>
      </c>
      <c r="B53" s="60">
        <v>1.0</v>
      </c>
      <c r="C53" s="64"/>
      <c r="D53" s="64"/>
      <c r="E53" s="61">
        <f t="shared" si="1"/>
        <v>32.5</v>
      </c>
      <c r="H53" s="4"/>
    </row>
    <row r="54">
      <c r="A54" s="59" t="s">
        <v>78</v>
      </c>
      <c r="B54" s="60">
        <v>1.0</v>
      </c>
      <c r="C54" s="64"/>
      <c r="D54" s="64"/>
      <c r="E54" s="61">
        <f t="shared" si="1"/>
        <v>32.5</v>
      </c>
      <c r="H54" s="4"/>
    </row>
    <row r="55">
      <c r="A55" s="59" t="s">
        <v>194</v>
      </c>
      <c r="B55" s="60">
        <v>1.0</v>
      </c>
      <c r="C55" s="65">
        <v>1.0</v>
      </c>
      <c r="D55" s="65">
        <v>1.0</v>
      </c>
      <c r="E55" s="61">
        <f t="shared" si="1"/>
        <v>87</v>
      </c>
      <c r="H55" s="4"/>
    </row>
    <row r="56">
      <c r="A56" s="59" t="s">
        <v>195</v>
      </c>
      <c r="B56" s="60">
        <v>1.0</v>
      </c>
      <c r="C56" s="60">
        <v>1.0</v>
      </c>
      <c r="D56" s="60">
        <v>1.0</v>
      </c>
      <c r="E56" s="61">
        <f t="shared" si="1"/>
        <v>87</v>
      </c>
      <c r="H56" s="4"/>
    </row>
    <row r="57">
      <c r="A57" s="65" t="s">
        <v>196</v>
      </c>
      <c r="B57" s="60">
        <v>1.0</v>
      </c>
      <c r="C57" s="64"/>
      <c r="D57" s="64"/>
      <c r="E57" s="61">
        <f t="shared" si="1"/>
        <v>32.5</v>
      </c>
      <c r="H57" s="4"/>
    </row>
    <row r="58">
      <c r="A58" s="59" t="s">
        <v>197</v>
      </c>
      <c r="B58" s="60">
        <v>1.0</v>
      </c>
      <c r="C58" s="64"/>
      <c r="D58" s="64"/>
      <c r="E58" s="61">
        <f t="shared" si="1"/>
        <v>32.5</v>
      </c>
      <c r="H58" s="4"/>
    </row>
    <row r="59">
      <c r="A59" s="59"/>
      <c r="B59" s="60"/>
      <c r="C59" s="64"/>
      <c r="D59" s="64"/>
      <c r="E59" s="61">
        <f t="shared" si="1"/>
        <v>0</v>
      </c>
      <c r="H59" s="4"/>
    </row>
    <row r="60">
      <c r="A60" s="59" t="s">
        <v>198</v>
      </c>
      <c r="B60" s="60">
        <v>1.0</v>
      </c>
      <c r="C60" s="65">
        <v>1.0</v>
      </c>
      <c r="D60" s="65">
        <v>1.0</v>
      </c>
      <c r="E60" s="61">
        <f t="shared" si="1"/>
        <v>87</v>
      </c>
      <c r="H60" s="4"/>
    </row>
    <row r="61">
      <c r="A61" s="59" t="s">
        <v>199</v>
      </c>
      <c r="B61" s="60">
        <v>1.0</v>
      </c>
      <c r="C61" s="65"/>
      <c r="D61" s="59"/>
      <c r="E61" s="61">
        <f t="shared" si="1"/>
        <v>32.5</v>
      </c>
      <c r="H61" s="4"/>
    </row>
    <row r="62">
      <c r="A62" s="59" t="s">
        <v>87</v>
      </c>
      <c r="B62" s="60">
        <v>1.0</v>
      </c>
      <c r="C62" s="64"/>
      <c r="D62" s="64"/>
      <c r="E62" s="61">
        <f t="shared" si="1"/>
        <v>32.5</v>
      </c>
      <c r="H62" s="4"/>
    </row>
    <row r="63">
      <c r="A63" s="59"/>
      <c r="B63" s="60"/>
      <c r="C63" s="64"/>
      <c r="D63" s="64"/>
      <c r="E63" s="61">
        <f t="shared" si="1"/>
        <v>0</v>
      </c>
      <c r="H63" s="4"/>
    </row>
    <row r="64">
      <c r="A64" s="59" t="s">
        <v>89</v>
      </c>
      <c r="B64" s="60">
        <v>1.0</v>
      </c>
      <c r="C64" s="60">
        <v>1.0</v>
      </c>
      <c r="D64" s="64"/>
      <c r="E64" s="61">
        <f t="shared" si="1"/>
        <v>65</v>
      </c>
      <c r="H64" s="4"/>
    </row>
    <row r="65">
      <c r="A65" s="59" t="s">
        <v>91</v>
      </c>
      <c r="B65" s="60">
        <v>1.0</v>
      </c>
      <c r="C65" s="64"/>
      <c r="D65" s="64"/>
      <c r="E65" s="61">
        <f t="shared" si="1"/>
        <v>32.5</v>
      </c>
      <c r="H65" s="4"/>
    </row>
    <row r="66">
      <c r="A66" s="59" t="s">
        <v>92</v>
      </c>
      <c r="B66" s="60">
        <v>1.0</v>
      </c>
      <c r="C66" s="59"/>
      <c r="D66" s="59"/>
      <c r="E66" s="61">
        <f t="shared" si="1"/>
        <v>32.5</v>
      </c>
      <c r="H66" s="4"/>
    </row>
    <row r="67">
      <c r="A67" s="59" t="s">
        <v>93</v>
      </c>
      <c r="B67" s="60">
        <v>1.0</v>
      </c>
      <c r="C67" s="64"/>
      <c r="D67" s="64"/>
      <c r="E67" s="61">
        <f t="shared" si="1"/>
        <v>32.5</v>
      </c>
      <c r="H67" s="4"/>
    </row>
    <row r="68">
      <c r="A68" s="59" t="s">
        <v>94</v>
      </c>
      <c r="B68" s="60">
        <v>1.0</v>
      </c>
      <c r="C68" s="64"/>
      <c r="D68" s="60">
        <v>1.0</v>
      </c>
      <c r="E68" s="61">
        <f t="shared" si="1"/>
        <v>54.5</v>
      </c>
      <c r="H68" s="4"/>
    </row>
    <row r="69">
      <c r="A69" s="59" t="s">
        <v>200</v>
      </c>
      <c r="B69" s="60">
        <v>1.0</v>
      </c>
      <c r="C69" s="60">
        <v>1.0</v>
      </c>
      <c r="D69" s="60">
        <v>1.0</v>
      </c>
      <c r="E69" s="61">
        <f t="shared" si="1"/>
        <v>87</v>
      </c>
      <c r="H69" s="4"/>
    </row>
    <row r="70">
      <c r="A70" s="59" t="s">
        <v>97</v>
      </c>
      <c r="B70" s="60">
        <v>1.0</v>
      </c>
      <c r="C70" s="64"/>
      <c r="D70" s="64"/>
      <c r="E70" s="61">
        <f t="shared" si="1"/>
        <v>32.5</v>
      </c>
      <c r="H70" s="4"/>
    </row>
    <row r="71">
      <c r="A71" s="65" t="s">
        <v>98</v>
      </c>
      <c r="B71" s="60">
        <v>1.0</v>
      </c>
      <c r="C71" s="64"/>
      <c r="D71" s="64"/>
      <c r="E71" s="61">
        <f t="shared" si="1"/>
        <v>32.5</v>
      </c>
      <c r="H71" s="4"/>
    </row>
    <row r="72">
      <c r="A72" s="59" t="s">
        <v>201</v>
      </c>
      <c r="B72" s="60">
        <v>1.0</v>
      </c>
      <c r="C72" s="59"/>
      <c r="D72" s="59"/>
      <c r="E72" s="61">
        <f t="shared" si="1"/>
        <v>32.5</v>
      </c>
      <c r="H72" s="4"/>
    </row>
    <row r="73">
      <c r="A73" s="59" t="s">
        <v>100</v>
      </c>
      <c r="B73" s="60">
        <v>1.0</v>
      </c>
      <c r="C73" s="60">
        <v>1.0</v>
      </c>
      <c r="D73" s="64"/>
      <c r="E73" s="61">
        <f t="shared" si="1"/>
        <v>65</v>
      </c>
      <c r="H73" s="4"/>
    </row>
    <row r="74">
      <c r="A74" s="59" t="s">
        <v>102</v>
      </c>
      <c r="B74" s="60">
        <v>1.0</v>
      </c>
      <c r="C74" s="64"/>
      <c r="D74" s="64"/>
      <c r="E74" s="61">
        <f t="shared" si="1"/>
        <v>32.5</v>
      </c>
      <c r="H74" s="4"/>
    </row>
    <row r="75">
      <c r="A75" s="59" t="s">
        <v>103</v>
      </c>
      <c r="B75" s="60">
        <v>1.0</v>
      </c>
      <c r="C75" s="60">
        <v>1.0</v>
      </c>
      <c r="D75" s="64"/>
      <c r="E75" s="61">
        <f t="shared" si="1"/>
        <v>65</v>
      </c>
      <c r="H75" s="4"/>
    </row>
    <row r="76">
      <c r="A76" s="65" t="s">
        <v>104</v>
      </c>
      <c r="B76" s="60">
        <v>1.0</v>
      </c>
      <c r="C76" s="64"/>
      <c r="D76" s="64"/>
      <c r="E76" s="61">
        <f t="shared" si="1"/>
        <v>32.5</v>
      </c>
      <c r="H76" s="4"/>
    </row>
    <row r="77">
      <c r="A77" s="65"/>
      <c r="B77" s="60"/>
      <c r="C77" s="64"/>
      <c r="D77" s="64"/>
      <c r="E77" s="61">
        <f t="shared" si="1"/>
        <v>0</v>
      </c>
      <c r="H77" s="4"/>
    </row>
    <row r="78">
      <c r="A78" s="59" t="s">
        <v>107</v>
      </c>
      <c r="B78" s="60">
        <v>1.0</v>
      </c>
      <c r="C78" s="64"/>
      <c r="D78" s="64"/>
      <c r="E78" s="61">
        <f t="shared" si="1"/>
        <v>32.5</v>
      </c>
      <c r="H78" s="4"/>
    </row>
    <row r="79">
      <c r="A79" s="65" t="s">
        <v>108</v>
      </c>
      <c r="B79" s="60">
        <v>1.0</v>
      </c>
      <c r="C79" s="64"/>
      <c r="D79" s="64"/>
      <c r="E79" s="61">
        <f t="shared" si="1"/>
        <v>32.5</v>
      </c>
      <c r="H79" s="4"/>
    </row>
    <row r="80">
      <c r="A80" s="59" t="s">
        <v>109</v>
      </c>
      <c r="B80" s="60">
        <v>1.0</v>
      </c>
      <c r="C80" s="60">
        <v>1.0</v>
      </c>
      <c r="D80" s="60">
        <v>1.0</v>
      </c>
      <c r="E80" s="61">
        <f t="shared" si="1"/>
        <v>87</v>
      </c>
      <c r="H80" s="4"/>
    </row>
    <row r="81">
      <c r="A81" s="65" t="s">
        <v>111</v>
      </c>
      <c r="B81" s="60">
        <v>1.0</v>
      </c>
      <c r="C81" s="64"/>
      <c r="D81" s="64"/>
      <c r="E81" s="61">
        <f t="shared" si="1"/>
        <v>32.5</v>
      </c>
      <c r="H81" s="4"/>
    </row>
    <row r="82">
      <c r="A82" s="65" t="s">
        <v>112</v>
      </c>
      <c r="B82" s="60">
        <v>1.0</v>
      </c>
      <c r="C82" s="64"/>
      <c r="D82" s="64"/>
      <c r="E82" s="61">
        <f t="shared" si="1"/>
        <v>32.5</v>
      </c>
      <c r="H82" s="4"/>
    </row>
    <row r="83">
      <c r="A83" s="65" t="s">
        <v>113</v>
      </c>
      <c r="B83" s="60">
        <v>1.0</v>
      </c>
      <c r="C83" s="65">
        <v>1.0</v>
      </c>
      <c r="D83" s="59"/>
      <c r="E83" s="61">
        <f t="shared" si="1"/>
        <v>65</v>
      </c>
      <c r="H83" s="4"/>
    </row>
    <row r="84">
      <c r="A84" s="65"/>
      <c r="B84" s="60"/>
      <c r="C84" s="65"/>
      <c r="D84" s="59"/>
      <c r="E84" s="61">
        <f t="shared" si="1"/>
        <v>0</v>
      </c>
      <c r="H84" s="4"/>
    </row>
    <row r="85">
      <c r="A85" s="59" t="s">
        <v>115</v>
      </c>
      <c r="B85" s="60">
        <v>1.0</v>
      </c>
      <c r="C85" s="64"/>
      <c r="D85" s="64"/>
      <c r="E85" s="61">
        <f t="shared" si="1"/>
        <v>32.5</v>
      </c>
      <c r="H85" s="4"/>
    </row>
    <row r="86">
      <c r="A86" s="23"/>
      <c r="B86" s="23"/>
      <c r="C86" s="23"/>
      <c r="D86" s="23"/>
      <c r="H86" s="4"/>
    </row>
    <row r="87">
      <c r="H87" s="4"/>
    </row>
    <row r="88">
      <c r="H88" s="4"/>
    </row>
    <row r="89">
      <c r="H89" s="4"/>
    </row>
    <row r="90">
      <c r="H90" s="4"/>
    </row>
    <row r="91">
      <c r="H91" s="4"/>
    </row>
    <row r="92">
      <c r="H92" s="4"/>
    </row>
    <row r="93">
      <c r="H93" s="4"/>
    </row>
    <row r="94">
      <c r="H94" s="4"/>
    </row>
    <row r="95">
      <c r="H95" s="4"/>
    </row>
    <row r="96">
      <c r="H96" s="4"/>
    </row>
    <row r="97">
      <c r="H97" s="4"/>
    </row>
    <row r="98">
      <c r="H98" s="4"/>
    </row>
    <row r="99">
      <c r="H99" s="4"/>
    </row>
    <row r="100">
      <c r="H100" s="4"/>
    </row>
    <row r="101">
      <c r="H101" s="4"/>
    </row>
    <row r="102">
      <c r="H102" s="4"/>
    </row>
    <row r="103">
      <c r="H103" s="4"/>
    </row>
    <row r="104">
      <c r="H104" s="4"/>
    </row>
    <row r="105">
      <c r="H105" s="4"/>
    </row>
    <row r="106">
      <c r="H106" s="4"/>
    </row>
    <row r="107">
      <c r="H107" s="4"/>
    </row>
    <row r="108">
      <c r="H108" s="4"/>
    </row>
    <row r="109">
      <c r="H109" s="4"/>
    </row>
    <row r="110">
      <c r="H110" s="4"/>
    </row>
    <row r="111">
      <c r="H111" s="4"/>
    </row>
    <row r="112">
      <c r="H112" s="4"/>
    </row>
    <row r="113">
      <c r="H113" s="4"/>
    </row>
    <row r="114">
      <c r="H114" s="4"/>
    </row>
    <row r="115">
      <c r="H115" s="4"/>
    </row>
    <row r="116">
      <c r="H116" s="4"/>
    </row>
    <row r="117">
      <c r="H117" s="4"/>
    </row>
    <row r="118">
      <c r="H118" s="4"/>
    </row>
    <row r="119">
      <c r="H119" s="4"/>
    </row>
    <row r="120">
      <c r="H120" s="4"/>
    </row>
    <row r="121">
      <c r="H121" s="4"/>
    </row>
    <row r="122">
      <c r="H122" s="4"/>
    </row>
    <row r="123">
      <c r="H123" s="4"/>
    </row>
    <row r="124">
      <c r="H124" s="4"/>
    </row>
    <row r="125">
      <c r="H125" s="4"/>
    </row>
    <row r="126">
      <c r="H126" s="4"/>
    </row>
    <row r="127">
      <c r="H127" s="4"/>
    </row>
    <row r="128">
      <c r="H128" s="4"/>
    </row>
    <row r="129">
      <c r="H129" s="4"/>
    </row>
    <row r="130">
      <c r="H130" s="4"/>
    </row>
    <row r="131">
      <c r="H131" s="4"/>
    </row>
    <row r="132">
      <c r="H132" s="4"/>
    </row>
    <row r="133">
      <c r="H133" s="4"/>
    </row>
    <row r="134">
      <c r="H134" s="4"/>
    </row>
    <row r="135">
      <c r="H135" s="4"/>
    </row>
    <row r="136">
      <c r="H136" s="4"/>
    </row>
    <row r="137">
      <c r="H137" s="4"/>
    </row>
    <row r="138">
      <c r="H138" s="4"/>
    </row>
    <row r="139">
      <c r="H139" s="4"/>
    </row>
    <row r="140">
      <c r="H140" s="4"/>
    </row>
    <row r="141">
      <c r="H141" s="4"/>
    </row>
    <row r="142">
      <c r="H142" s="4"/>
    </row>
    <row r="143">
      <c r="H143" s="4"/>
    </row>
    <row r="144">
      <c r="H144" s="4"/>
    </row>
    <row r="145">
      <c r="H145" s="4"/>
    </row>
    <row r="146">
      <c r="H146" s="4"/>
    </row>
    <row r="147">
      <c r="H147" s="4"/>
    </row>
    <row r="148">
      <c r="H148" s="4"/>
    </row>
    <row r="149">
      <c r="H149" s="4"/>
    </row>
    <row r="150">
      <c r="H150" s="4"/>
    </row>
    <row r="151">
      <c r="H151" s="4"/>
    </row>
    <row r="152">
      <c r="H152" s="4"/>
    </row>
    <row r="153">
      <c r="H153" s="4"/>
    </row>
    <row r="154">
      <c r="H154" s="4"/>
    </row>
    <row r="155">
      <c r="H155" s="4"/>
    </row>
    <row r="156">
      <c r="H156" s="4"/>
    </row>
    <row r="157">
      <c r="H157" s="4"/>
    </row>
    <row r="158">
      <c r="H158" s="4"/>
    </row>
    <row r="159">
      <c r="H159" s="4"/>
    </row>
    <row r="160">
      <c r="H160" s="4"/>
    </row>
    <row r="161">
      <c r="H161" s="4"/>
    </row>
    <row r="162">
      <c r="H162" s="4"/>
    </row>
    <row r="163">
      <c r="H163" s="4"/>
    </row>
    <row r="164">
      <c r="H164" s="4"/>
    </row>
    <row r="165">
      <c r="H165" s="4"/>
    </row>
    <row r="166">
      <c r="H166" s="4"/>
    </row>
    <row r="167">
      <c r="H167" s="4"/>
    </row>
    <row r="168">
      <c r="H168" s="4"/>
    </row>
    <row r="169">
      <c r="H169" s="4"/>
    </row>
    <row r="170">
      <c r="H170" s="4"/>
    </row>
    <row r="171">
      <c r="H171" s="4"/>
    </row>
    <row r="172">
      <c r="H172" s="4"/>
    </row>
    <row r="173">
      <c r="H173" s="4"/>
    </row>
    <row r="174">
      <c r="H174" s="4"/>
    </row>
    <row r="175">
      <c r="H175" s="4"/>
    </row>
    <row r="176">
      <c r="H176" s="4"/>
    </row>
    <row r="177">
      <c r="H177" s="4"/>
    </row>
    <row r="178">
      <c r="H178" s="4"/>
    </row>
    <row r="179">
      <c r="H179" s="4"/>
    </row>
    <row r="180">
      <c r="H180" s="4"/>
    </row>
    <row r="181">
      <c r="H181" s="4"/>
    </row>
    <row r="182">
      <c r="H182" s="4"/>
    </row>
    <row r="183">
      <c r="H183" s="4"/>
    </row>
    <row r="184">
      <c r="H184" s="4"/>
    </row>
    <row r="185">
      <c r="H185" s="4"/>
    </row>
    <row r="186">
      <c r="H186" s="4"/>
    </row>
    <row r="187">
      <c r="H187" s="4"/>
    </row>
    <row r="188">
      <c r="H188" s="4"/>
    </row>
    <row r="189">
      <c r="H189" s="4"/>
    </row>
    <row r="190">
      <c r="H190" s="4"/>
    </row>
    <row r="191">
      <c r="H191" s="4"/>
    </row>
    <row r="192">
      <c r="H192" s="4"/>
    </row>
    <row r="193">
      <c r="H193" s="4"/>
    </row>
    <row r="194">
      <c r="H194" s="4"/>
    </row>
    <row r="195">
      <c r="H195" s="4"/>
    </row>
    <row r="196">
      <c r="H196" s="4"/>
    </row>
    <row r="197">
      <c r="H197" s="4"/>
    </row>
    <row r="198">
      <c r="H198" s="4"/>
    </row>
    <row r="199">
      <c r="H199" s="4"/>
    </row>
    <row r="200">
      <c r="H200" s="4"/>
    </row>
    <row r="201">
      <c r="H201" s="4"/>
    </row>
    <row r="202">
      <c r="H202" s="4"/>
    </row>
    <row r="203">
      <c r="H203" s="4"/>
    </row>
    <row r="204">
      <c r="H204" s="4"/>
    </row>
    <row r="205">
      <c r="H205" s="4"/>
    </row>
    <row r="206">
      <c r="H206" s="4"/>
    </row>
    <row r="207">
      <c r="H207" s="4"/>
    </row>
    <row r="208">
      <c r="H208" s="4"/>
    </row>
    <row r="209">
      <c r="H209" s="4"/>
    </row>
    <row r="210">
      <c r="H210" s="4"/>
    </row>
    <row r="211">
      <c r="H211" s="4"/>
    </row>
    <row r="212">
      <c r="H212" s="4"/>
    </row>
    <row r="213">
      <c r="H213" s="4"/>
    </row>
    <row r="214">
      <c r="H214" s="4"/>
    </row>
    <row r="215">
      <c r="H215" s="4"/>
    </row>
    <row r="216">
      <c r="H216" s="4"/>
    </row>
    <row r="217">
      <c r="H217" s="4"/>
    </row>
    <row r="218">
      <c r="H218" s="4"/>
    </row>
    <row r="219">
      <c r="H219" s="4"/>
    </row>
    <row r="220">
      <c r="H220" s="4"/>
    </row>
    <row r="221">
      <c r="H221" s="4"/>
    </row>
    <row r="222">
      <c r="H222" s="4"/>
    </row>
    <row r="223">
      <c r="H223" s="4"/>
    </row>
    <row r="224">
      <c r="H224" s="4"/>
    </row>
    <row r="225">
      <c r="H225" s="4"/>
    </row>
    <row r="226">
      <c r="H226" s="4"/>
    </row>
    <row r="227">
      <c r="H227" s="4"/>
    </row>
    <row r="228">
      <c r="H228" s="4"/>
    </row>
    <row r="229">
      <c r="H229" s="4"/>
    </row>
    <row r="230">
      <c r="H230" s="4"/>
    </row>
    <row r="231">
      <c r="H231" s="4"/>
    </row>
    <row r="232">
      <c r="H232" s="4"/>
    </row>
    <row r="233">
      <c r="H233" s="4"/>
    </row>
    <row r="234">
      <c r="H234" s="4"/>
    </row>
    <row r="235">
      <c r="H235" s="4"/>
    </row>
    <row r="236">
      <c r="H236" s="4"/>
    </row>
    <row r="237">
      <c r="H237" s="4"/>
    </row>
    <row r="238">
      <c r="H238" s="4"/>
    </row>
    <row r="239">
      <c r="H239" s="4"/>
    </row>
    <row r="240">
      <c r="H240" s="4"/>
    </row>
    <row r="241">
      <c r="H241" s="4"/>
    </row>
    <row r="242">
      <c r="H242" s="4"/>
    </row>
    <row r="243">
      <c r="H243" s="4"/>
    </row>
    <row r="244">
      <c r="H244" s="4"/>
    </row>
    <row r="245">
      <c r="H245" s="4"/>
    </row>
    <row r="246">
      <c r="H246" s="4"/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38"/>
    </row>
    <row r="872">
      <c r="H872" s="38"/>
    </row>
    <row r="873">
      <c r="H873" s="38"/>
    </row>
    <row r="874">
      <c r="H874" s="38"/>
    </row>
    <row r="875">
      <c r="H875" s="38"/>
    </row>
    <row r="876">
      <c r="H876" s="38"/>
    </row>
    <row r="877">
      <c r="H877" s="38"/>
    </row>
    <row r="878">
      <c r="H878" s="38"/>
    </row>
    <row r="879">
      <c r="H879" s="38"/>
    </row>
    <row r="880">
      <c r="H880" s="38"/>
    </row>
    <row r="881">
      <c r="H881" s="38"/>
    </row>
    <row r="882">
      <c r="H882" s="38"/>
    </row>
    <row r="883">
      <c r="H883" s="38"/>
    </row>
    <row r="884">
      <c r="H884" s="38"/>
    </row>
    <row r="885">
      <c r="H885" s="38"/>
    </row>
    <row r="886">
      <c r="H886" s="38"/>
    </row>
    <row r="887">
      <c r="H887" s="38"/>
    </row>
    <row r="888">
      <c r="H888" s="38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</cols>
  <sheetData>
    <row r="1">
      <c r="A1" s="67" t="s">
        <v>0</v>
      </c>
      <c r="B1" s="67" t="s">
        <v>202</v>
      </c>
      <c r="C1" s="68" t="s">
        <v>203</v>
      </c>
    </row>
    <row r="2">
      <c r="A2" s="60" t="s">
        <v>16</v>
      </c>
      <c r="B2" s="69">
        <v>56.2</v>
      </c>
      <c r="C2" s="60">
        <v>1.0</v>
      </c>
    </row>
    <row r="3">
      <c r="A3" s="64" t="s">
        <v>19</v>
      </c>
      <c r="B3" s="69">
        <v>56.2</v>
      </c>
      <c r="C3" s="60">
        <v>1.0</v>
      </c>
    </row>
    <row r="4">
      <c r="A4" s="60" t="s">
        <v>22</v>
      </c>
      <c r="B4" s="69">
        <v>56.2</v>
      </c>
      <c r="C4" s="60">
        <v>1.0</v>
      </c>
    </row>
    <row r="5">
      <c r="A5" s="64" t="s">
        <v>37</v>
      </c>
      <c r="B5" s="69">
        <v>56.2</v>
      </c>
      <c r="C5" s="60">
        <v>1.0</v>
      </c>
    </row>
    <row r="6">
      <c r="A6" s="64" t="s">
        <v>44</v>
      </c>
      <c r="B6" s="69">
        <v>56.2</v>
      </c>
      <c r="C6" s="60">
        <v>1.0</v>
      </c>
    </row>
    <row r="7">
      <c r="A7" s="64" t="s">
        <v>48</v>
      </c>
      <c r="B7" s="69">
        <v>56.2</v>
      </c>
      <c r="C7" s="60">
        <v>1.0</v>
      </c>
    </row>
    <row r="8">
      <c r="A8" s="64" t="s">
        <v>55</v>
      </c>
      <c r="B8" s="69">
        <v>56.2</v>
      </c>
      <c r="C8" s="60">
        <v>1.0</v>
      </c>
    </row>
    <row r="9">
      <c r="A9" s="64" t="s">
        <v>59</v>
      </c>
      <c r="B9" s="69">
        <v>56.2</v>
      </c>
      <c r="C9" s="60">
        <v>1.0</v>
      </c>
    </row>
    <row r="10">
      <c r="A10" s="64" t="s">
        <v>60</v>
      </c>
      <c r="B10" s="69">
        <v>56.2</v>
      </c>
      <c r="C10" s="60">
        <v>1.0</v>
      </c>
    </row>
    <row r="11">
      <c r="A11" s="64" t="s">
        <v>65</v>
      </c>
      <c r="B11" s="69">
        <v>56.2</v>
      </c>
      <c r="C11" s="60">
        <v>1.0</v>
      </c>
    </row>
    <row r="12">
      <c r="A12" s="64" t="s">
        <v>73</v>
      </c>
      <c r="B12" s="69">
        <v>56.2</v>
      </c>
      <c r="C12" s="60">
        <v>1.0</v>
      </c>
    </row>
    <row r="13">
      <c r="A13" s="64" t="s">
        <v>75</v>
      </c>
      <c r="B13" s="69">
        <v>56.2</v>
      </c>
      <c r="C13" s="60">
        <v>1.0</v>
      </c>
    </row>
    <row r="14">
      <c r="A14" s="64" t="s">
        <v>76</v>
      </c>
      <c r="B14" s="69">
        <v>56.2</v>
      </c>
      <c r="C14" s="60">
        <v>1.0</v>
      </c>
    </row>
    <row r="15">
      <c r="A15" s="64" t="s">
        <v>79</v>
      </c>
      <c r="B15" s="69">
        <v>56.2</v>
      </c>
      <c r="C15" s="60">
        <v>1.0</v>
      </c>
    </row>
    <row r="16">
      <c r="A16" s="64" t="s">
        <v>204</v>
      </c>
      <c r="B16" s="69">
        <v>56.2</v>
      </c>
      <c r="C16" s="60">
        <v>1.0</v>
      </c>
    </row>
    <row r="17">
      <c r="A17" s="64" t="s">
        <v>85</v>
      </c>
      <c r="B17" s="69">
        <v>56.2</v>
      </c>
      <c r="C17" s="60">
        <v>1.0</v>
      </c>
    </row>
    <row r="18">
      <c r="A18" s="64" t="s">
        <v>88</v>
      </c>
      <c r="B18" s="46">
        <v>112.4</v>
      </c>
      <c r="C18" s="60">
        <v>2.0</v>
      </c>
    </row>
    <row r="19">
      <c r="A19" s="64" t="s">
        <v>98</v>
      </c>
      <c r="B19" s="69">
        <v>56.2</v>
      </c>
      <c r="C19" s="60">
        <v>1.0</v>
      </c>
    </row>
    <row r="20">
      <c r="A20" s="64" t="s">
        <v>205</v>
      </c>
      <c r="B20" s="70">
        <v>56.2</v>
      </c>
      <c r="C20" s="60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88"/>
    <col customWidth="1" min="4" max="4" width="17.13"/>
    <col customWidth="1" min="5" max="6" width="22.25"/>
  </cols>
  <sheetData>
    <row r="1">
      <c r="A1" s="71" t="s">
        <v>0</v>
      </c>
      <c r="B1" s="72" t="s">
        <v>202</v>
      </c>
      <c r="C1" s="71" t="s">
        <v>206</v>
      </c>
      <c r="D1" s="71" t="s">
        <v>207</v>
      </c>
      <c r="E1" s="73" t="s">
        <v>208</v>
      </c>
      <c r="F1" s="74" t="s">
        <v>209</v>
      </c>
    </row>
    <row r="2">
      <c r="A2" s="64" t="s">
        <v>97</v>
      </c>
      <c r="B2" s="75">
        <v>37.99</v>
      </c>
      <c r="C2" s="64" t="s">
        <v>210</v>
      </c>
      <c r="D2" s="64" t="s">
        <v>211</v>
      </c>
      <c r="E2" s="64"/>
      <c r="F2" s="76">
        <v>1.0</v>
      </c>
    </row>
    <row r="3">
      <c r="A3" s="60" t="s">
        <v>116</v>
      </c>
      <c r="B3" s="75">
        <v>37.99</v>
      </c>
      <c r="C3" s="64" t="s">
        <v>212</v>
      </c>
      <c r="D3" s="64" t="s">
        <v>213</v>
      </c>
      <c r="E3" s="76">
        <v>1.0</v>
      </c>
      <c r="F3" s="64"/>
    </row>
    <row r="4">
      <c r="A4" s="60" t="s">
        <v>19</v>
      </c>
      <c r="B4" s="77">
        <v>37.99</v>
      </c>
      <c r="C4" s="64" t="s">
        <v>214</v>
      </c>
      <c r="D4" s="64" t="s">
        <v>215</v>
      </c>
      <c r="E4" s="64"/>
      <c r="F4" s="76">
        <v>1.0</v>
      </c>
    </row>
    <row r="5">
      <c r="A5" s="64" t="s">
        <v>59</v>
      </c>
      <c r="B5" s="77">
        <v>75.98</v>
      </c>
      <c r="C5" s="64" t="s">
        <v>212</v>
      </c>
      <c r="D5" s="64" t="s">
        <v>216</v>
      </c>
      <c r="E5" s="76">
        <v>1.0</v>
      </c>
      <c r="F5" s="76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56" t="s">
        <v>217</v>
      </c>
    </row>
    <row r="2">
      <c r="A2" s="56" t="s">
        <v>218</v>
      </c>
    </row>
    <row r="3">
      <c r="A3" s="56" t="s">
        <v>219</v>
      </c>
    </row>
    <row r="4">
      <c r="A4" s="56" t="s">
        <v>220</v>
      </c>
    </row>
  </sheetData>
  <drawing r:id="rId1"/>
</worksheet>
</file>